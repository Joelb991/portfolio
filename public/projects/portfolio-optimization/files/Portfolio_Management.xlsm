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indiana-my.sharepoint.com/personal/brygarci_iu_edu/Documents/"/>
    </mc:Choice>
  </mc:AlternateContent>
  <xr:revisionPtr revIDLastSave="2914" documentId="8_{3803D1A5-C916-1D45-BC7C-5EF271AA73D8}" xr6:coauthVersionLast="46" xr6:coauthVersionMax="46" xr10:uidLastSave="{8D7C342B-B148-3348-8B6B-8838D01CAFF4}"/>
  <bookViews>
    <workbookView xWindow="0" yWindow="0" windowWidth="25600" windowHeight="16000" activeTab="9" xr2:uid="{D5F69ADC-24FB-2849-8086-7FC0D38DA526}"/>
  </bookViews>
  <sheets>
    <sheet name="Sheet1" sheetId="1" r:id="rId1"/>
    <sheet name="Sheet2" sheetId="2" r:id="rId2"/>
    <sheet name="Sheet3" sheetId="5" r:id="rId3"/>
    <sheet name="Sheet4" sheetId="7" r:id="rId4"/>
    <sheet name="Sheet5" sheetId="8" r:id="rId5"/>
    <sheet name="Sheet6" sheetId="10" r:id="rId6"/>
    <sheet name="Sheet7" sheetId="11" r:id="rId7"/>
    <sheet name="Regressions" sheetId="12" r:id="rId8"/>
    <sheet name="Sheet8" sheetId="25" r:id="rId9"/>
    <sheet name="Sheet9" sheetId="26" r:id="rId10"/>
  </sheets>
  <definedNames>
    <definedName name="solver_adj" localSheetId="3" hidden="1">Sheet4!$B$15:$F$15</definedName>
    <definedName name="solver_adj" localSheetId="4" hidden="1">Sheet5!$C$16:$G$16</definedName>
    <definedName name="solver_adj" localSheetId="8" hidden="1">Sheet8!$B$15:$F$15</definedName>
    <definedName name="solver_adj" localSheetId="9" hidden="1">Sheet9!$R$15:$V$15</definedName>
    <definedName name="solver_cvg" localSheetId="3" hidden="1">0.0001</definedName>
    <definedName name="solver_cvg" localSheetId="4" hidden="1">0.0001</definedName>
    <definedName name="solver_cvg" localSheetId="8" hidden="1">0.0001</definedName>
    <definedName name="solver_cvg" localSheetId="9" hidden="1">0.0001</definedName>
    <definedName name="solver_drv" localSheetId="3" hidden="1">1</definedName>
    <definedName name="solver_drv" localSheetId="4" hidden="1">1</definedName>
    <definedName name="solver_drv" localSheetId="8" hidden="1">1</definedName>
    <definedName name="solver_drv" localSheetId="9" hidden="1">1</definedName>
    <definedName name="solver_eng" localSheetId="3" hidden="1">1</definedName>
    <definedName name="solver_eng" localSheetId="4" hidden="1">1</definedName>
    <definedName name="solver_eng" localSheetId="8" hidden="1">1</definedName>
    <definedName name="solver_eng" localSheetId="9" hidden="1">1</definedName>
    <definedName name="solver_itr" localSheetId="3" hidden="1">2147483647</definedName>
    <definedName name="solver_itr" localSheetId="4" hidden="1">2147483647</definedName>
    <definedName name="solver_itr" localSheetId="8" hidden="1">2147483647</definedName>
    <definedName name="solver_itr" localSheetId="9" hidden="1">2147483647</definedName>
    <definedName name="solver_lhs1" localSheetId="3" hidden="1">Sheet4!$B$22</definedName>
    <definedName name="solver_lhs1" localSheetId="4" hidden="1">Sheet5!$C$24</definedName>
    <definedName name="solver_lhs1" localSheetId="8" hidden="1">Sheet8!$B$22</definedName>
    <definedName name="solver_lhs1" localSheetId="9" hidden="1">Sheet9!$R$23</definedName>
    <definedName name="solver_lhs2" localSheetId="3" hidden="1">Sheet4!$B$23</definedName>
    <definedName name="solver_lhs2" localSheetId="4" hidden="1">Sheet5!$C$24</definedName>
    <definedName name="solver_lhs2" localSheetId="8" hidden="1">Sheet8!#REF!</definedName>
    <definedName name="solver_lhs2" localSheetId="9" hidden="1">Sheet9!$R$22</definedName>
    <definedName name="solver_lhs3" localSheetId="9" hidden="1">Sheet9!$R$23</definedName>
    <definedName name="solver_lhs4" localSheetId="9" hidden="1">Sheet9!$S$15</definedName>
    <definedName name="solver_lhs5" localSheetId="9" hidden="1">Sheet9!$T$15</definedName>
    <definedName name="solver_lhs6" localSheetId="9" hidden="1">Sheet9!$U$15</definedName>
    <definedName name="solver_lhs7" localSheetId="9" hidden="1">Sheet9!$V$15</definedName>
    <definedName name="solver_lin" localSheetId="3" hidden="1">2</definedName>
    <definedName name="solver_lin" localSheetId="4" hidden="1">2</definedName>
    <definedName name="solver_lin" localSheetId="8" hidden="1">2</definedName>
    <definedName name="solver_lin" localSheetId="9" hidden="1">2</definedName>
    <definedName name="solver_mip" localSheetId="3" hidden="1">2147483647</definedName>
    <definedName name="solver_mip" localSheetId="4" hidden="1">2147483647</definedName>
    <definedName name="solver_mip" localSheetId="8" hidden="1">2147483647</definedName>
    <definedName name="solver_mip" localSheetId="9" hidden="1">2147483647</definedName>
    <definedName name="solver_mni" localSheetId="3" hidden="1">30</definedName>
    <definedName name="solver_mni" localSheetId="4" hidden="1">30</definedName>
    <definedName name="solver_mni" localSheetId="8" hidden="1">30</definedName>
    <definedName name="solver_mni" localSheetId="9" hidden="1">30</definedName>
    <definedName name="solver_mrt" localSheetId="3" hidden="1">0.075</definedName>
    <definedName name="solver_mrt" localSheetId="4" hidden="1">0.075</definedName>
    <definedName name="solver_mrt" localSheetId="8" hidden="1">0.075</definedName>
    <definedName name="solver_mrt" localSheetId="9" hidden="1">0.075</definedName>
    <definedName name="solver_msl" localSheetId="3" hidden="1">2</definedName>
    <definedName name="solver_msl" localSheetId="4" hidden="1">2</definedName>
    <definedName name="solver_msl" localSheetId="8" hidden="1">2</definedName>
    <definedName name="solver_msl" localSheetId="9" hidden="1">2</definedName>
    <definedName name="solver_neg" localSheetId="3" hidden="1">2</definedName>
    <definedName name="solver_neg" localSheetId="4" hidden="1">2</definedName>
    <definedName name="solver_neg" localSheetId="8" hidden="1">2</definedName>
    <definedName name="solver_neg" localSheetId="9" hidden="1">1</definedName>
    <definedName name="solver_nod" localSheetId="3" hidden="1">2147483647</definedName>
    <definedName name="solver_nod" localSheetId="4" hidden="1">2147483647</definedName>
    <definedName name="solver_nod" localSheetId="8" hidden="1">2147483647</definedName>
    <definedName name="solver_nod" localSheetId="9" hidden="1">2147483647</definedName>
    <definedName name="solver_num" localSheetId="3" hidden="1">2</definedName>
    <definedName name="solver_num" localSheetId="4" hidden="1">1</definedName>
    <definedName name="solver_num" localSheetId="8" hidden="1">1</definedName>
    <definedName name="solver_num" localSheetId="9" hidden="1">1</definedName>
    <definedName name="solver_opt" localSheetId="3" hidden="1">Sheet4!$B$18</definedName>
    <definedName name="solver_opt" localSheetId="4" hidden="1">Sheet5!$C$19</definedName>
    <definedName name="solver_opt" localSheetId="8" hidden="1">Sheet8!$B$18</definedName>
    <definedName name="solver_opt" localSheetId="9" hidden="1">Sheet9!$R$18</definedName>
    <definedName name="solver_pre" localSheetId="3" hidden="1">0.000001</definedName>
    <definedName name="solver_pre" localSheetId="4" hidden="1">0.000001</definedName>
    <definedName name="solver_pre" localSheetId="8" hidden="1">0.000001</definedName>
    <definedName name="solver_pre" localSheetId="9" hidden="1">0.000001</definedName>
    <definedName name="solver_rbv" localSheetId="3" hidden="1">1</definedName>
    <definedName name="solver_rbv" localSheetId="4" hidden="1">1</definedName>
    <definedName name="solver_rbv" localSheetId="8" hidden="1">1</definedName>
    <definedName name="solver_rbv" localSheetId="9" hidden="1">1</definedName>
    <definedName name="solver_rel1" localSheetId="3" hidden="1">2</definedName>
    <definedName name="solver_rel1" localSheetId="4" hidden="1">2</definedName>
    <definedName name="solver_rel1" localSheetId="8" hidden="1">2</definedName>
    <definedName name="solver_rel1" localSheetId="9" hidden="1">2</definedName>
    <definedName name="solver_rel2" localSheetId="3" hidden="1">2</definedName>
    <definedName name="solver_rel2" localSheetId="4" hidden="1">2</definedName>
    <definedName name="solver_rel2" localSheetId="8" hidden="1">2</definedName>
    <definedName name="solver_rel2" localSheetId="9" hidden="1">3</definedName>
    <definedName name="solver_rel3" localSheetId="9" hidden="1">2</definedName>
    <definedName name="solver_rel4" localSheetId="9" hidden="1">3</definedName>
    <definedName name="solver_rel5" localSheetId="9" hidden="1">3</definedName>
    <definedName name="solver_rel6" localSheetId="9" hidden="1">3</definedName>
    <definedName name="solver_rel7" localSheetId="9" hidden="1">3</definedName>
    <definedName name="solver_rhs1" localSheetId="3" hidden="1">Sheet4!$C$22</definedName>
    <definedName name="solver_rhs1" localSheetId="4" hidden="1">Sheet5!$D$24</definedName>
    <definedName name="solver_rhs1" localSheetId="8" hidden="1">1</definedName>
    <definedName name="solver_rhs1" localSheetId="9" hidden="1">Sheet9!$S$23</definedName>
    <definedName name="solver_rhs2" localSheetId="3" hidden="1">Sheet4!$C$23</definedName>
    <definedName name="solver_rhs2" localSheetId="4" hidden="1">Sheet5!$D$24</definedName>
    <definedName name="solver_rhs2" localSheetId="8" hidden="1">Sheet8!#REF!</definedName>
    <definedName name="solver_rhs2" localSheetId="9" hidden="1">0.1</definedName>
    <definedName name="solver_rhs3" localSheetId="9" hidden="1">Sheet9!$S$23</definedName>
    <definedName name="solver_rhs4" localSheetId="9" hidden="1">0</definedName>
    <definedName name="solver_rhs5" localSheetId="9" hidden="1">0</definedName>
    <definedName name="solver_rhs6" localSheetId="9" hidden="1">0</definedName>
    <definedName name="solver_rhs7" localSheetId="9" hidden="1">0</definedName>
    <definedName name="solver_rlx" localSheetId="3" hidden="1">2</definedName>
    <definedName name="solver_rlx" localSheetId="4" hidden="1">2</definedName>
    <definedName name="solver_rlx" localSheetId="8" hidden="1">2</definedName>
    <definedName name="solver_rlx" localSheetId="9" hidden="1">2</definedName>
    <definedName name="solver_rsd" localSheetId="3" hidden="1">0</definedName>
    <definedName name="solver_rsd" localSheetId="4" hidden="1">0</definedName>
    <definedName name="solver_rsd" localSheetId="8" hidden="1">0</definedName>
    <definedName name="solver_rsd" localSheetId="9" hidden="1">0</definedName>
    <definedName name="solver_scl" localSheetId="3" hidden="1">1</definedName>
    <definedName name="solver_scl" localSheetId="4" hidden="1">1</definedName>
    <definedName name="solver_scl" localSheetId="8" hidden="1">1</definedName>
    <definedName name="solver_scl" localSheetId="9" hidden="1">1</definedName>
    <definedName name="solver_sho" localSheetId="3" hidden="1">2</definedName>
    <definedName name="solver_sho" localSheetId="4" hidden="1">2</definedName>
    <definedName name="solver_sho" localSheetId="8" hidden="1">2</definedName>
    <definedName name="solver_sho" localSheetId="9" hidden="1">2</definedName>
    <definedName name="solver_ssz" localSheetId="3" hidden="1">100</definedName>
    <definedName name="solver_ssz" localSheetId="4" hidden="1">100</definedName>
    <definedName name="solver_ssz" localSheetId="8" hidden="1">100</definedName>
    <definedName name="solver_ssz" localSheetId="9" hidden="1">100</definedName>
    <definedName name="solver_tim" localSheetId="3" hidden="1">2147483647</definedName>
    <definedName name="solver_tim" localSheetId="4" hidden="1">2147483647</definedName>
    <definedName name="solver_tim" localSheetId="8" hidden="1">2147483647</definedName>
    <definedName name="solver_tim" localSheetId="9" hidden="1">2147483647</definedName>
    <definedName name="solver_tol" localSheetId="3" hidden="1">0.01</definedName>
    <definedName name="solver_tol" localSheetId="4" hidden="1">0.01</definedName>
    <definedName name="solver_tol" localSheetId="8" hidden="1">0.01</definedName>
    <definedName name="solver_tol" localSheetId="9" hidden="1">0.01</definedName>
    <definedName name="solver_typ" localSheetId="3" hidden="1">2</definedName>
    <definedName name="solver_typ" localSheetId="4" hidden="1">2</definedName>
    <definedName name="solver_typ" localSheetId="8" hidden="1">1</definedName>
    <definedName name="solver_typ" localSheetId="9" hidden="1">2</definedName>
    <definedName name="solver_val" localSheetId="3" hidden="1">0</definedName>
    <definedName name="solver_val" localSheetId="4" hidden="1">0</definedName>
    <definedName name="solver_val" localSheetId="8" hidden="1">0</definedName>
    <definedName name="solver_val" localSheetId="9" hidden="1">0</definedName>
    <definedName name="solver_ver" localSheetId="3" hidden="1">2</definedName>
    <definedName name="solver_ver" localSheetId="4" hidden="1">2</definedName>
    <definedName name="solver_ver" localSheetId="8" hidden="1">2</definedName>
    <definedName name="solver_ver" localSheetId="9" hidden="1">2</definedName>
  </definedNames>
  <calcPr calcId="18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5" i="8" l="1"/>
  <c r="D35" i="8"/>
  <c r="R23" i="26"/>
  <c r="S22" i="26"/>
  <c r="R22" i="26"/>
  <c r="R18" i="26"/>
  <c r="X25" i="26"/>
  <c r="H25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B23" i="26"/>
  <c r="C22" i="26"/>
  <c r="B22" i="26"/>
  <c r="B18" i="26"/>
  <c r="B22" i="25"/>
  <c r="H15" i="25"/>
  <c r="L15" i="25"/>
  <c r="L27" i="25"/>
  <c r="G15" i="25"/>
  <c r="K15" i="25"/>
  <c r="K27" i="25"/>
  <c r="B18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29" i="8"/>
  <c r="C19" i="8"/>
  <c r="H28" i="7"/>
  <c r="E3" i="10"/>
  <c r="E90" i="10"/>
  <c r="G122" i="10"/>
  <c r="H2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4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H109" i="10"/>
  <c r="H110" i="10"/>
  <c r="H111" i="10"/>
  <c r="H112" i="10"/>
  <c r="H113" i="10"/>
  <c r="H114" i="10"/>
  <c r="H115" i="10"/>
  <c r="H116" i="10"/>
  <c r="H117" i="10"/>
  <c r="H118" i="10"/>
  <c r="H119" i="10"/>
  <c r="H120" i="10"/>
  <c r="H121" i="10"/>
  <c r="H122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4" i="10"/>
  <c r="C23" i="8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4" i="10"/>
  <c r="P4" i="11"/>
  <c r="C125" i="10"/>
  <c r="X4" i="11"/>
  <c r="C3" i="2"/>
  <c r="C4" i="2"/>
  <c r="C5" i="2"/>
  <c r="C6" i="2"/>
  <c r="C7" i="2"/>
  <c r="C8" i="2"/>
  <c r="C2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4" i="2"/>
  <c r="W4" i="11"/>
  <c r="Y4" i="11"/>
  <c r="P5" i="11"/>
  <c r="X5" i="11"/>
  <c r="D3" i="2"/>
  <c r="D4" i="2"/>
  <c r="D5" i="2"/>
  <c r="D6" i="2"/>
  <c r="D7" i="2"/>
  <c r="D8" i="2"/>
  <c r="D2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4" i="2"/>
  <c r="W5" i="11"/>
  <c r="Y5" i="11"/>
  <c r="P6" i="11"/>
  <c r="X6" i="11"/>
  <c r="E3" i="2"/>
  <c r="E4" i="2"/>
  <c r="E5" i="2"/>
  <c r="E6" i="2"/>
  <c r="E7" i="2"/>
  <c r="E8" i="2"/>
  <c r="E2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4" i="2"/>
  <c r="W6" i="11"/>
  <c r="Y6" i="11"/>
  <c r="P7" i="11"/>
  <c r="X7" i="11"/>
  <c r="F3" i="2"/>
  <c r="F4" i="2"/>
  <c r="F5" i="2"/>
  <c r="F6" i="2"/>
  <c r="F7" i="2"/>
  <c r="F8" i="2"/>
  <c r="F2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4" i="2"/>
  <c r="W7" i="11"/>
  <c r="Y7" i="11"/>
  <c r="P8" i="11"/>
  <c r="X8" i="11"/>
  <c r="G3" i="2"/>
  <c r="G4" i="2"/>
  <c r="G5" i="2"/>
  <c r="G6" i="2"/>
  <c r="G7" i="2"/>
  <c r="G8" i="2"/>
  <c r="G2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4" i="2"/>
  <c r="W8" i="11"/>
  <c r="Y8" i="11"/>
  <c r="P9" i="11"/>
  <c r="X9" i="11"/>
  <c r="H3" i="2"/>
  <c r="H4" i="2"/>
  <c r="H5" i="2"/>
  <c r="H6" i="2"/>
  <c r="H7" i="2"/>
  <c r="H8" i="2"/>
  <c r="H2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4" i="2"/>
  <c r="W9" i="11"/>
  <c r="Y9" i="11"/>
  <c r="P10" i="11"/>
  <c r="X10" i="11"/>
  <c r="I3" i="2"/>
  <c r="I4" i="2"/>
  <c r="I5" i="2"/>
  <c r="I6" i="2"/>
  <c r="I7" i="2"/>
  <c r="I8" i="2"/>
  <c r="I2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4" i="2"/>
  <c r="W10" i="11"/>
  <c r="Y10" i="11"/>
  <c r="P11" i="11"/>
  <c r="X11" i="11"/>
  <c r="J3" i="2"/>
  <c r="J4" i="2"/>
  <c r="J5" i="2"/>
  <c r="J6" i="2"/>
  <c r="J7" i="2"/>
  <c r="J8" i="2"/>
  <c r="J2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4" i="2"/>
  <c r="W11" i="11"/>
  <c r="Y11" i="11"/>
  <c r="P12" i="11"/>
  <c r="X12" i="11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2" i="2"/>
  <c r="K124" i="2"/>
  <c r="W12" i="11"/>
  <c r="Y12" i="11"/>
  <c r="B3" i="2"/>
  <c r="B4" i="2"/>
  <c r="B5" i="2"/>
  <c r="B6" i="2"/>
  <c r="B7" i="2"/>
  <c r="B8" i="2"/>
  <c r="B2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4" i="2"/>
  <c r="W3" i="11"/>
  <c r="P3" i="11"/>
  <c r="X3" i="11"/>
  <c r="Y3" i="11"/>
  <c r="T4" i="11"/>
  <c r="C123" i="2"/>
  <c r="S4" i="11"/>
  <c r="U4" i="11"/>
  <c r="T5" i="11"/>
  <c r="D123" i="2"/>
  <c r="S5" i="11"/>
  <c r="U5" i="11"/>
  <c r="T6" i="11"/>
  <c r="E123" i="2"/>
  <c r="S6" i="11"/>
  <c r="U6" i="11"/>
  <c r="T7" i="11"/>
  <c r="F123" i="2"/>
  <c r="S7" i="11"/>
  <c r="U7" i="11"/>
  <c r="T8" i="11"/>
  <c r="G123" i="2"/>
  <c r="S8" i="11"/>
  <c r="U8" i="11"/>
  <c r="T9" i="11"/>
  <c r="H123" i="2"/>
  <c r="S9" i="11"/>
  <c r="U9" i="11"/>
  <c r="T10" i="11"/>
  <c r="I123" i="2"/>
  <c r="S10" i="11"/>
  <c r="U10" i="11"/>
  <c r="T11" i="11"/>
  <c r="J123" i="2"/>
  <c r="S11" i="11"/>
  <c r="U11" i="11"/>
  <c r="T12" i="11"/>
  <c r="K123" i="2"/>
  <c r="S12" i="11"/>
  <c r="U12" i="11"/>
  <c r="T3" i="11"/>
  <c r="B123" i="2"/>
  <c r="S3" i="11"/>
  <c r="U3" i="11"/>
  <c r="Q12" i="11"/>
  <c r="Q11" i="11"/>
  <c r="Q10" i="11"/>
  <c r="Q9" i="11"/>
  <c r="Q8" i="11"/>
  <c r="Q7" i="11"/>
  <c r="Q6" i="11"/>
  <c r="Q5" i="11"/>
  <c r="Q4" i="11"/>
  <c r="Q3" i="11"/>
  <c r="Z31" i="12"/>
  <c r="H67" i="12"/>
  <c r="H31" i="12"/>
  <c r="H49" i="12"/>
  <c r="Q49" i="12"/>
  <c r="Z49" i="12"/>
  <c r="O12" i="11"/>
  <c r="O11" i="11"/>
  <c r="O10" i="11"/>
  <c r="O9" i="11"/>
  <c r="O8" i="11"/>
  <c r="O7" i="11"/>
  <c r="O6" i="11"/>
  <c r="O5" i="11"/>
  <c r="O4" i="11"/>
  <c r="O3" i="11"/>
  <c r="Q31" i="12"/>
  <c r="Z13" i="12"/>
  <c r="Q13" i="12"/>
  <c r="H13" i="12"/>
  <c r="D3" i="11"/>
  <c r="E3" i="11"/>
  <c r="F3" i="11"/>
  <c r="G3" i="11"/>
  <c r="H3" i="11"/>
  <c r="I3" i="11"/>
  <c r="J3" i="11"/>
  <c r="K3" i="11"/>
  <c r="L3" i="11"/>
  <c r="D4" i="11"/>
  <c r="E4" i="11"/>
  <c r="F4" i="11"/>
  <c r="G4" i="11"/>
  <c r="H4" i="11"/>
  <c r="I4" i="11"/>
  <c r="J4" i="11"/>
  <c r="K4" i="11"/>
  <c r="L4" i="11"/>
  <c r="D5" i="11"/>
  <c r="E5" i="11"/>
  <c r="F5" i="11"/>
  <c r="G5" i="11"/>
  <c r="H5" i="11"/>
  <c r="I5" i="11"/>
  <c r="J5" i="11"/>
  <c r="K5" i="11"/>
  <c r="L5" i="11"/>
  <c r="D6" i="11"/>
  <c r="E6" i="11"/>
  <c r="F6" i="11"/>
  <c r="G6" i="11"/>
  <c r="H6" i="11"/>
  <c r="I6" i="11"/>
  <c r="J6" i="11"/>
  <c r="K6" i="11"/>
  <c r="L6" i="11"/>
  <c r="D7" i="11"/>
  <c r="E7" i="11"/>
  <c r="F7" i="11"/>
  <c r="G7" i="11"/>
  <c r="H7" i="11"/>
  <c r="I7" i="11"/>
  <c r="J7" i="11"/>
  <c r="K7" i="11"/>
  <c r="L7" i="11"/>
  <c r="D8" i="11"/>
  <c r="E8" i="11"/>
  <c r="F8" i="11"/>
  <c r="G8" i="11"/>
  <c r="H8" i="11"/>
  <c r="I8" i="11"/>
  <c r="J8" i="11"/>
  <c r="K8" i="11"/>
  <c r="L8" i="11"/>
  <c r="D9" i="11"/>
  <c r="E9" i="11"/>
  <c r="F9" i="11"/>
  <c r="G9" i="11"/>
  <c r="H9" i="11"/>
  <c r="I9" i="11"/>
  <c r="J9" i="11"/>
  <c r="K9" i="11"/>
  <c r="L9" i="11"/>
  <c r="D10" i="11"/>
  <c r="E10" i="11"/>
  <c r="F10" i="11"/>
  <c r="G10" i="11"/>
  <c r="H10" i="11"/>
  <c r="I10" i="11"/>
  <c r="J10" i="11"/>
  <c r="K10" i="11"/>
  <c r="L10" i="11"/>
  <c r="D11" i="11"/>
  <c r="E11" i="11"/>
  <c r="F11" i="11"/>
  <c r="G11" i="11"/>
  <c r="H11" i="11"/>
  <c r="I11" i="11"/>
  <c r="J11" i="11"/>
  <c r="K11" i="11"/>
  <c r="L11" i="11"/>
  <c r="D12" i="11"/>
  <c r="E12" i="11"/>
  <c r="F12" i="11"/>
  <c r="G12" i="11"/>
  <c r="H12" i="11"/>
  <c r="I12" i="11"/>
  <c r="J12" i="11"/>
  <c r="K12" i="11"/>
  <c r="L12" i="11"/>
  <c r="D13" i="11"/>
  <c r="E13" i="11"/>
  <c r="F13" i="11"/>
  <c r="G13" i="11"/>
  <c r="H13" i="11"/>
  <c r="I13" i="11"/>
  <c r="J13" i="11"/>
  <c r="K13" i="11"/>
  <c r="L13" i="11"/>
  <c r="D14" i="11"/>
  <c r="E14" i="11"/>
  <c r="F14" i="11"/>
  <c r="G14" i="11"/>
  <c r="H14" i="11"/>
  <c r="I14" i="11"/>
  <c r="J14" i="11"/>
  <c r="K14" i="11"/>
  <c r="L14" i="11"/>
  <c r="D15" i="11"/>
  <c r="E15" i="11"/>
  <c r="F15" i="11"/>
  <c r="G15" i="11"/>
  <c r="H15" i="11"/>
  <c r="I15" i="11"/>
  <c r="J15" i="11"/>
  <c r="K15" i="11"/>
  <c r="L15" i="11"/>
  <c r="D16" i="11"/>
  <c r="E16" i="11"/>
  <c r="F16" i="11"/>
  <c r="G16" i="11"/>
  <c r="H16" i="11"/>
  <c r="I16" i="11"/>
  <c r="J16" i="11"/>
  <c r="K16" i="11"/>
  <c r="L16" i="11"/>
  <c r="D17" i="11"/>
  <c r="E17" i="11"/>
  <c r="F17" i="11"/>
  <c r="G17" i="11"/>
  <c r="H17" i="11"/>
  <c r="I17" i="11"/>
  <c r="J17" i="11"/>
  <c r="K17" i="11"/>
  <c r="L17" i="11"/>
  <c r="D18" i="11"/>
  <c r="E18" i="11"/>
  <c r="F18" i="11"/>
  <c r="G18" i="11"/>
  <c r="H18" i="11"/>
  <c r="I18" i="11"/>
  <c r="J18" i="11"/>
  <c r="K18" i="11"/>
  <c r="L18" i="11"/>
  <c r="D19" i="11"/>
  <c r="E19" i="11"/>
  <c r="F19" i="11"/>
  <c r="G19" i="11"/>
  <c r="H19" i="11"/>
  <c r="I19" i="11"/>
  <c r="J19" i="11"/>
  <c r="K19" i="11"/>
  <c r="L19" i="11"/>
  <c r="D20" i="11"/>
  <c r="E20" i="11"/>
  <c r="F20" i="11"/>
  <c r="G20" i="11"/>
  <c r="H20" i="11"/>
  <c r="I20" i="11"/>
  <c r="J20" i="11"/>
  <c r="K20" i="11"/>
  <c r="L20" i="11"/>
  <c r="D21" i="11"/>
  <c r="E21" i="11"/>
  <c r="F21" i="11"/>
  <c r="G21" i="11"/>
  <c r="H21" i="11"/>
  <c r="I21" i="11"/>
  <c r="J21" i="11"/>
  <c r="K21" i="11"/>
  <c r="L21" i="11"/>
  <c r="D22" i="11"/>
  <c r="E22" i="11"/>
  <c r="F22" i="11"/>
  <c r="G22" i="11"/>
  <c r="H22" i="11"/>
  <c r="I22" i="11"/>
  <c r="J22" i="11"/>
  <c r="K22" i="11"/>
  <c r="L22" i="11"/>
  <c r="D23" i="11"/>
  <c r="E23" i="11"/>
  <c r="F23" i="11"/>
  <c r="G23" i="11"/>
  <c r="H23" i="11"/>
  <c r="I23" i="11"/>
  <c r="J23" i="11"/>
  <c r="K23" i="11"/>
  <c r="L23" i="11"/>
  <c r="D24" i="11"/>
  <c r="E24" i="11"/>
  <c r="F24" i="11"/>
  <c r="G24" i="11"/>
  <c r="H24" i="11"/>
  <c r="I24" i="11"/>
  <c r="J24" i="11"/>
  <c r="K24" i="11"/>
  <c r="L24" i="11"/>
  <c r="D25" i="11"/>
  <c r="E25" i="11"/>
  <c r="F25" i="11"/>
  <c r="G25" i="11"/>
  <c r="H25" i="11"/>
  <c r="I25" i="11"/>
  <c r="J25" i="11"/>
  <c r="K25" i="11"/>
  <c r="L25" i="11"/>
  <c r="D26" i="11"/>
  <c r="E26" i="11"/>
  <c r="F26" i="11"/>
  <c r="G26" i="11"/>
  <c r="H26" i="11"/>
  <c r="I26" i="11"/>
  <c r="J26" i="11"/>
  <c r="K26" i="11"/>
  <c r="L26" i="11"/>
  <c r="D27" i="11"/>
  <c r="E27" i="11"/>
  <c r="F27" i="11"/>
  <c r="G27" i="11"/>
  <c r="H27" i="11"/>
  <c r="I27" i="11"/>
  <c r="J27" i="11"/>
  <c r="K27" i="11"/>
  <c r="L27" i="11"/>
  <c r="D28" i="11"/>
  <c r="E28" i="11"/>
  <c r="F28" i="11"/>
  <c r="G28" i="11"/>
  <c r="H28" i="11"/>
  <c r="I28" i="11"/>
  <c r="J28" i="11"/>
  <c r="K28" i="11"/>
  <c r="L28" i="11"/>
  <c r="D29" i="11"/>
  <c r="E29" i="11"/>
  <c r="F29" i="11"/>
  <c r="G29" i="11"/>
  <c r="H29" i="11"/>
  <c r="I29" i="11"/>
  <c r="J29" i="11"/>
  <c r="K29" i="11"/>
  <c r="L29" i="11"/>
  <c r="D30" i="11"/>
  <c r="E30" i="11"/>
  <c r="F30" i="11"/>
  <c r="G30" i="11"/>
  <c r="H30" i="11"/>
  <c r="I30" i="11"/>
  <c r="J30" i="11"/>
  <c r="K30" i="11"/>
  <c r="L30" i="11"/>
  <c r="D31" i="11"/>
  <c r="E31" i="11"/>
  <c r="F31" i="11"/>
  <c r="G31" i="11"/>
  <c r="H31" i="11"/>
  <c r="I31" i="11"/>
  <c r="J31" i="11"/>
  <c r="K31" i="11"/>
  <c r="L31" i="11"/>
  <c r="D32" i="11"/>
  <c r="E32" i="11"/>
  <c r="F32" i="11"/>
  <c r="G32" i="11"/>
  <c r="H32" i="11"/>
  <c r="I32" i="11"/>
  <c r="J32" i="11"/>
  <c r="K32" i="11"/>
  <c r="L32" i="11"/>
  <c r="D33" i="11"/>
  <c r="E33" i="11"/>
  <c r="F33" i="11"/>
  <c r="G33" i="11"/>
  <c r="H33" i="11"/>
  <c r="I33" i="11"/>
  <c r="J33" i="11"/>
  <c r="K33" i="11"/>
  <c r="L33" i="11"/>
  <c r="D34" i="11"/>
  <c r="E34" i="11"/>
  <c r="F34" i="11"/>
  <c r="G34" i="11"/>
  <c r="H34" i="11"/>
  <c r="I34" i="11"/>
  <c r="J34" i="11"/>
  <c r="K34" i="11"/>
  <c r="L34" i="11"/>
  <c r="D35" i="11"/>
  <c r="E35" i="11"/>
  <c r="F35" i="11"/>
  <c r="G35" i="11"/>
  <c r="H35" i="11"/>
  <c r="I35" i="11"/>
  <c r="J35" i="11"/>
  <c r="K35" i="11"/>
  <c r="L35" i="11"/>
  <c r="D36" i="11"/>
  <c r="E36" i="11"/>
  <c r="F36" i="11"/>
  <c r="G36" i="11"/>
  <c r="H36" i="11"/>
  <c r="I36" i="11"/>
  <c r="J36" i="11"/>
  <c r="K36" i="11"/>
  <c r="L36" i="11"/>
  <c r="D37" i="11"/>
  <c r="E37" i="11"/>
  <c r="F37" i="11"/>
  <c r="G37" i="11"/>
  <c r="H37" i="11"/>
  <c r="I37" i="11"/>
  <c r="J37" i="11"/>
  <c r="K37" i="11"/>
  <c r="L37" i="11"/>
  <c r="D38" i="11"/>
  <c r="E38" i="11"/>
  <c r="F38" i="11"/>
  <c r="G38" i="11"/>
  <c r="H38" i="11"/>
  <c r="I38" i="11"/>
  <c r="J38" i="11"/>
  <c r="K38" i="11"/>
  <c r="L38" i="11"/>
  <c r="D39" i="11"/>
  <c r="E39" i="11"/>
  <c r="F39" i="11"/>
  <c r="G39" i="11"/>
  <c r="H39" i="11"/>
  <c r="I39" i="11"/>
  <c r="J39" i="11"/>
  <c r="K39" i="11"/>
  <c r="L39" i="11"/>
  <c r="D40" i="11"/>
  <c r="E40" i="11"/>
  <c r="F40" i="11"/>
  <c r="G40" i="11"/>
  <c r="H40" i="11"/>
  <c r="I40" i="11"/>
  <c r="J40" i="11"/>
  <c r="K40" i="11"/>
  <c r="L40" i="11"/>
  <c r="D41" i="11"/>
  <c r="E41" i="11"/>
  <c r="F41" i="11"/>
  <c r="G41" i="11"/>
  <c r="H41" i="11"/>
  <c r="I41" i="11"/>
  <c r="J41" i="11"/>
  <c r="K41" i="11"/>
  <c r="L41" i="11"/>
  <c r="D42" i="11"/>
  <c r="E42" i="11"/>
  <c r="F42" i="11"/>
  <c r="G42" i="11"/>
  <c r="H42" i="11"/>
  <c r="I42" i="11"/>
  <c r="J42" i="11"/>
  <c r="K42" i="11"/>
  <c r="L42" i="11"/>
  <c r="D43" i="11"/>
  <c r="E43" i="11"/>
  <c r="F43" i="11"/>
  <c r="G43" i="11"/>
  <c r="H43" i="11"/>
  <c r="I43" i="11"/>
  <c r="J43" i="11"/>
  <c r="K43" i="11"/>
  <c r="L43" i="11"/>
  <c r="D44" i="11"/>
  <c r="E44" i="11"/>
  <c r="F44" i="11"/>
  <c r="G44" i="11"/>
  <c r="H44" i="11"/>
  <c r="I44" i="11"/>
  <c r="J44" i="11"/>
  <c r="K44" i="11"/>
  <c r="L44" i="11"/>
  <c r="D45" i="11"/>
  <c r="E45" i="11"/>
  <c r="F45" i="11"/>
  <c r="G45" i="11"/>
  <c r="H45" i="11"/>
  <c r="I45" i="11"/>
  <c r="J45" i="11"/>
  <c r="K45" i="11"/>
  <c r="L45" i="11"/>
  <c r="D46" i="11"/>
  <c r="E46" i="11"/>
  <c r="F46" i="11"/>
  <c r="G46" i="11"/>
  <c r="H46" i="11"/>
  <c r="I46" i="11"/>
  <c r="J46" i="11"/>
  <c r="K46" i="11"/>
  <c r="L46" i="11"/>
  <c r="D47" i="11"/>
  <c r="E47" i="11"/>
  <c r="F47" i="11"/>
  <c r="G47" i="11"/>
  <c r="H47" i="11"/>
  <c r="I47" i="11"/>
  <c r="J47" i="11"/>
  <c r="K47" i="11"/>
  <c r="L47" i="11"/>
  <c r="D48" i="11"/>
  <c r="E48" i="11"/>
  <c r="F48" i="11"/>
  <c r="G48" i="11"/>
  <c r="H48" i="11"/>
  <c r="I48" i="11"/>
  <c r="J48" i="11"/>
  <c r="K48" i="11"/>
  <c r="L48" i="11"/>
  <c r="D49" i="11"/>
  <c r="E49" i="11"/>
  <c r="F49" i="11"/>
  <c r="G49" i="11"/>
  <c r="H49" i="11"/>
  <c r="I49" i="11"/>
  <c r="J49" i="11"/>
  <c r="K49" i="11"/>
  <c r="L49" i="11"/>
  <c r="D50" i="11"/>
  <c r="E50" i="11"/>
  <c r="F50" i="11"/>
  <c r="G50" i="11"/>
  <c r="H50" i="11"/>
  <c r="I50" i="11"/>
  <c r="J50" i="11"/>
  <c r="K50" i="11"/>
  <c r="L50" i="11"/>
  <c r="D51" i="11"/>
  <c r="E51" i="11"/>
  <c r="F51" i="11"/>
  <c r="G51" i="11"/>
  <c r="H51" i="11"/>
  <c r="I51" i="11"/>
  <c r="J51" i="11"/>
  <c r="K51" i="11"/>
  <c r="L51" i="11"/>
  <c r="D52" i="11"/>
  <c r="E52" i="11"/>
  <c r="F52" i="11"/>
  <c r="G52" i="11"/>
  <c r="H52" i="11"/>
  <c r="I52" i="11"/>
  <c r="J52" i="11"/>
  <c r="K52" i="11"/>
  <c r="L52" i="11"/>
  <c r="D53" i="11"/>
  <c r="E53" i="11"/>
  <c r="F53" i="11"/>
  <c r="G53" i="11"/>
  <c r="H53" i="11"/>
  <c r="I53" i="11"/>
  <c r="J53" i="11"/>
  <c r="K53" i="11"/>
  <c r="L53" i="11"/>
  <c r="D54" i="11"/>
  <c r="E54" i="11"/>
  <c r="F54" i="11"/>
  <c r="G54" i="11"/>
  <c r="H54" i="11"/>
  <c r="I54" i="11"/>
  <c r="J54" i="11"/>
  <c r="K54" i="11"/>
  <c r="L54" i="11"/>
  <c r="D55" i="11"/>
  <c r="E55" i="11"/>
  <c r="F55" i="11"/>
  <c r="G55" i="11"/>
  <c r="H55" i="11"/>
  <c r="I55" i="11"/>
  <c r="J55" i="11"/>
  <c r="K55" i="11"/>
  <c r="L55" i="11"/>
  <c r="D56" i="11"/>
  <c r="E56" i="11"/>
  <c r="F56" i="11"/>
  <c r="G56" i="11"/>
  <c r="H56" i="11"/>
  <c r="I56" i="11"/>
  <c r="J56" i="11"/>
  <c r="K56" i="11"/>
  <c r="L56" i="11"/>
  <c r="D57" i="11"/>
  <c r="E57" i="11"/>
  <c r="F57" i="11"/>
  <c r="G57" i="11"/>
  <c r="H57" i="11"/>
  <c r="I57" i="11"/>
  <c r="J57" i="11"/>
  <c r="K57" i="11"/>
  <c r="L57" i="11"/>
  <c r="D58" i="11"/>
  <c r="E58" i="11"/>
  <c r="F58" i="11"/>
  <c r="G58" i="11"/>
  <c r="H58" i="11"/>
  <c r="I58" i="11"/>
  <c r="J58" i="11"/>
  <c r="K58" i="11"/>
  <c r="L58" i="11"/>
  <c r="D59" i="11"/>
  <c r="E59" i="11"/>
  <c r="F59" i="11"/>
  <c r="G59" i="11"/>
  <c r="H59" i="11"/>
  <c r="I59" i="11"/>
  <c r="J59" i="11"/>
  <c r="K59" i="11"/>
  <c r="L59" i="11"/>
  <c r="D60" i="11"/>
  <c r="E60" i="11"/>
  <c r="F60" i="11"/>
  <c r="G60" i="11"/>
  <c r="H60" i="11"/>
  <c r="I60" i="11"/>
  <c r="J60" i="11"/>
  <c r="K60" i="11"/>
  <c r="L60" i="11"/>
  <c r="D61" i="11"/>
  <c r="E61" i="11"/>
  <c r="F61" i="11"/>
  <c r="G61" i="11"/>
  <c r="H61" i="11"/>
  <c r="I61" i="11"/>
  <c r="J61" i="11"/>
  <c r="K61" i="11"/>
  <c r="L61" i="11"/>
  <c r="D62" i="11"/>
  <c r="E62" i="11"/>
  <c r="F62" i="11"/>
  <c r="G62" i="11"/>
  <c r="H62" i="11"/>
  <c r="I62" i="11"/>
  <c r="J62" i="11"/>
  <c r="K62" i="11"/>
  <c r="L62" i="11"/>
  <c r="D63" i="11"/>
  <c r="E63" i="11"/>
  <c r="F63" i="11"/>
  <c r="G63" i="11"/>
  <c r="H63" i="11"/>
  <c r="I63" i="11"/>
  <c r="J63" i="11"/>
  <c r="K63" i="11"/>
  <c r="L63" i="11"/>
  <c r="D64" i="11"/>
  <c r="E64" i="11"/>
  <c r="F64" i="11"/>
  <c r="G64" i="11"/>
  <c r="H64" i="11"/>
  <c r="I64" i="11"/>
  <c r="J64" i="11"/>
  <c r="K64" i="11"/>
  <c r="L64" i="11"/>
  <c r="D65" i="11"/>
  <c r="E65" i="11"/>
  <c r="F65" i="11"/>
  <c r="G65" i="11"/>
  <c r="H65" i="11"/>
  <c r="I65" i="11"/>
  <c r="J65" i="11"/>
  <c r="K65" i="11"/>
  <c r="L65" i="11"/>
  <c r="D66" i="11"/>
  <c r="E66" i="11"/>
  <c r="F66" i="11"/>
  <c r="G66" i="11"/>
  <c r="H66" i="11"/>
  <c r="I66" i="11"/>
  <c r="J66" i="11"/>
  <c r="K66" i="11"/>
  <c r="L66" i="11"/>
  <c r="D67" i="11"/>
  <c r="E67" i="11"/>
  <c r="F67" i="11"/>
  <c r="G67" i="11"/>
  <c r="H67" i="11"/>
  <c r="I67" i="11"/>
  <c r="J67" i="11"/>
  <c r="K67" i="11"/>
  <c r="L67" i="11"/>
  <c r="D68" i="11"/>
  <c r="E68" i="11"/>
  <c r="F68" i="11"/>
  <c r="G68" i="11"/>
  <c r="H68" i="11"/>
  <c r="I68" i="11"/>
  <c r="J68" i="11"/>
  <c r="K68" i="11"/>
  <c r="L68" i="11"/>
  <c r="D69" i="11"/>
  <c r="E69" i="11"/>
  <c r="F69" i="11"/>
  <c r="G69" i="11"/>
  <c r="H69" i="11"/>
  <c r="I69" i="11"/>
  <c r="J69" i="11"/>
  <c r="K69" i="11"/>
  <c r="L69" i="11"/>
  <c r="D70" i="11"/>
  <c r="E70" i="11"/>
  <c r="F70" i="11"/>
  <c r="G70" i="11"/>
  <c r="H70" i="11"/>
  <c r="I70" i="11"/>
  <c r="J70" i="11"/>
  <c r="K70" i="11"/>
  <c r="L70" i="11"/>
  <c r="D71" i="11"/>
  <c r="E71" i="11"/>
  <c r="F71" i="11"/>
  <c r="G71" i="11"/>
  <c r="H71" i="11"/>
  <c r="I71" i="11"/>
  <c r="J71" i="11"/>
  <c r="K71" i="11"/>
  <c r="L71" i="11"/>
  <c r="D72" i="11"/>
  <c r="E72" i="11"/>
  <c r="F72" i="11"/>
  <c r="G72" i="11"/>
  <c r="H72" i="11"/>
  <c r="I72" i="11"/>
  <c r="J72" i="11"/>
  <c r="K72" i="11"/>
  <c r="L72" i="11"/>
  <c r="D73" i="11"/>
  <c r="E73" i="11"/>
  <c r="F73" i="11"/>
  <c r="G73" i="11"/>
  <c r="H73" i="11"/>
  <c r="I73" i="11"/>
  <c r="J73" i="11"/>
  <c r="K73" i="11"/>
  <c r="L73" i="11"/>
  <c r="D74" i="11"/>
  <c r="E74" i="11"/>
  <c r="F74" i="11"/>
  <c r="G74" i="11"/>
  <c r="H74" i="11"/>
  <c r="I74" i="11"/>
  <c r="J74" i="11"/>
  <c r="K74" i="11"/>
  <c r="L74" i="11"/>
  <c r="D75" i="11"/>
  <c r="E75" i="11"/>
  <c r="F75" i="11"/>
  <c r="G75" i="11"/>
  <c r="H75" i="11"/>
  <c r="I75" i="11"/>
  <c r="J75" i="11"/>
  <c r="K75" i="11"/>
  <c r="L75" i="11"/>
  <c r="D76" i="11"/>
  <c r="E76" i="11"/>
  <c r="F76" i="11"/>
  <c r="G76" i="11"/>
  <c r="H76" i="11"/>
  <c r="I76" i="11"/>
  <c r="J76" i="11"/>
  <c r="K76" i="11"/>
  <c r="L76" i="11"/>
  <c r="D77" i="11"/>
  <c r="E77" i="11"/>
  <c r="F77" i="11"/>
  <c r="G77" i="11"/>
  <c r="H77" i="11"/>
  <c r="I77" i="11"/>
  <c r="J77" i="11"/>
  <c r="K77" i="11"/>
  <c r="L77" i="11"/>
  <c r="D78" i="11"/>
  <c r="E78" i="11"/>
  <c r="F78" i="11"/>
  <c r="G78" i="11"/>
  <c r="H78" i="11"/>
  <c r="I78" i="11"/>
  <c r="J78" i="11"/>
  <c r="K78" i="11"/>
  <c r="L78" i="11"/>
  <c r="D79" i="11"/>
  <c r="E79" i="11"/>
  <c r="F79" i="11"/>
  <c r="G79" i="11"/>
  <c r="H79" i="11"/>
  <c r="I79" i="11"/>
  <c r="J79" i="11"/>
  <c r="K79" i="11"/>
  <c r="L79" i="11"/>
  <c r="D80" i="11"/>
  <c r="E80" i="11"/>
  <c r="F80" i="11"/>
  <c r="G80" i="11"/>
  <c r="H80" i="11"/>
  <c r="I80" i="11"/>
  <c r="J80" i="11"/>
  <c r="K80" i="11"/>
  <c r="L80" i="11"/>
  <c r="D81" i="11"/>
  <c r="E81" i="11"/>
  <c r="F81" i="11"/>
  <c r="G81" i="11"/>
  <c r="H81" i="11"/>
  <c r="I81" i="11"/>
  <c r="J81" i="11"/>
  <c r="K81" i="11"/>
  <c r="L81" i="11"/>
  <c r="D82" i="11"/>
  <c r="E82" i="11"/>
  <c r="F82" i="11"/>
  <c r="G82" i="11"/>
  <c r="H82" i="11"/>
  <c r="I82" i="11"/>
  <c r="J82" i="11"/>
  <c r="K82" i="11"/>
  <c r="L82" i="11"/>
  <c r="D83" i="11"/>
  <c r="E83" i="11"/>
  <c r="F83" i="11"/>
  <c r="G83" i="11"/>
  <c r="H83" i="11"/>
  <c r="I83" i="11"/>
  <c r="J83" i="11"/>
  <c r="K83" i="11"/>
  <c r="L83" i="11"/>
  <c r="D84" i="11"/>
  <c r="E84" i="11"/>
  <c r="F84" i="11"/>
  <c r="G84" i="11"/>
  <c r="H84" i="11"/>
  <c r="I84" i="11"/>
  <c r="J84" i="11"/>
  <c r="K84" i="11"/>
  <c r="L84" i="11"/>
  <c r="D85" i="11"/>
  <c r="E85" i="11"/>
  <c r="F85" i="11"/>
  <c r="G85" i="11"/>
  <c r="H85" i="11"/>
  <c r="I85" i="11"/>
  <c r="J85" i="11"/>
  <c r="K85" i="11"/>
  <c r="L85" i="11"/>
  <c r="D86" i="11"/>
  <c r="E86" i="11"/>
  <c r="F86" i="11"/>
  <c r="G86" i="11"/>
  <c r="H86" i="11"/>
  <c r="I86" i="11"/>
  <c r="J86" i="11"/>
  <c r="K86" i="11"/>
  <c r="L86" i="11"/>
  <c r="D87" i="11"/>
  <c r="E87" i="11"/>
  <c r="F87" i="11"/>
  <c r="G87" i="11"/>
  <c r="H87" i="11"/>
  <c r="I87" i="11"/>
  <c r="J87" i="11"/>
  <c r="K87" i="11"/>
  <c r="L87" i="11"/>
  <c r="D88" i="11"/>
  <c r="E88" i="11"/>
  <c r="F88" i="11"/>
  <c r="G88" i="11"/>
  <c r="H88" i="11"/>
  <c r="I88" i="11"/>
  <c r="J88" i="11"/>
  <c r="K88" i="11"/>
  <c r="L88" i="11"/>
  <c r="D89" i="11"/>
  <c r="E89" i="11"/>
  <c r="F89" i="11"/>
  <c r="G89" i="11"/>
  <c r="H89" i="11"/>
  <c r="I89" i="11"/>
  <c r="J89" i="11"/>
  <c r="K89" i="11"/>
  <c r="L89" i="11"/>
  <c r="D90" i="11"/>
  <c r="E90" i="11"/>
  <c r="F90" i="11"/>
  <c r="G90" i="11"/>
  <c r="H90" i="11"/>
  <c r="I90" i="11"/>
  <c r="J90" i="11"/>
  <c r="K90" i="11"/>
  <c r="L90" i="11"/>
  <c r="D91" i="11"/>
  <c r="E91" i="11"/>
  <c r="F91" i="11"/>
  <c r="G91" i="11"/>
  <c r="H91" i="11"/>
  <c r="I91" i="11"/>
  <c r="J91" i="11"/>
  <c r="K91" i="11"/>
  <c r="L91" i="11"/>
  <c r="D92" i="11"/>
  <c r="E92" i="11"/>
  <c r="F92" i="11"/>
  <c r="G92" i="11"/>
  <c r="H92" i="11"/>
  <c r="I92" i="11"/>
  <c r="J92" i="11"/>
  <c r="K92" i="11"/>
  <c r="L92" i="11"/>
  <c r="D93" i="11"/>
  <c r="E93" i="11"/>
  <c r="F93" i="11"/>
  <c r="G93" i="11"/>
  <c r="H93" i="11"/>
  <c r="I93" i="11"/>
  <c r="J93" i="11"/>
  <c r="K93" i="11"/>
  <c r="L93" i="11"/>
  <c r="D94" i="11"/>
  <c r="E94" i="11"/>
  <c r="F94" i="11"/>
  <c r="G94" i="11"/>
  <c r="H94" i="11"/>
  <c r="I94" i="11"/>
  <c r="J94" i="11"/>
  <c r="K94" i="11"/>
  <c r="L94" i="11"/>
  <c r="D95" i="11"/>
  <c r="E95" i="11"/>
  <c r="F95" i="11"/>
  <c r="G95" i="11"/>
  <c r="H95" i="11"/>
  <c r="I95" i="11"/>
  <c r="J95" i="11"/>
  <c r="K95" i="11"/>
  <c r="L95" i="11"/>
  <c r="D96" i="11"/>
  <c r="E96" i="11"/>
  <c r="F96" i="11"/>
  <c r="G96" i="11"/>
  <c r="H96" i="11"/>
  <c r="I96" i="11"/>
  <c r="J96" i="11"/>
  <c r="K96" i="11"/>
  <c r="L96" i="11"/>
  <c r="D97" i="11"/>
  <c r="E97" i="11"/>
  <c r="F97" i="11"/>
  <c r="G97" i="11"/>
  <c r="H97" i="11"/>
  <c r="I97" i="11"/>
  <c r="J97" i="11"/>
  <c r="K97" i="11"/>
  <c r="L97" i="11"/>
  <c r="D98" i="11"/>
  <c r="E98" i="11"/>
  <c r="F98" i="11"/>
  <c r="G98" i="11"/>
  <c r="H98" i="11"/>
  <c r="I98" i="11"/>
  <c r="J98" i="11"/>
  <c r="K98" i="11"/>
  <c r="L98" i="11"/>
  <c r="D99" i="11"/>
  <c r="E99" i="11"/>
  <c r="F99" i="11"/>
  <c r="G99" i="11"/>
  <c r="H99" i="11"/>
  <c r="I99" i="11"/>
  <c r="J99" i="11"/>
  <c r="K99" i="11"/>
  <c r="L99" i="11"/>
  <c r="D100" i="11"/>
  <c r="E100" i="11"/>
  <c r="F100" i="11"/>
  <c r="G100" i="11"/>
  <c r="H100" i="11"/>
  <c r="I100" i="11"/>
  <c r="J100" i="11"/>
  <c r="K100" i="11"/>
  <c r="L100" i="11"/>
  <c r="D101" i="11"/>
  <c r="E101" i="11"/>
  <c r="F101" i="11"/>
  <c r="G101" i="11"/>
  <c r="H101" i="11"/>
  <c r="I101" i="11"/>
  <c r="J101" i="11"/>
  <c r="K101" i="11"/>
  <c r="L101" i="11"/>
  <c r="D102" i="11"/>
  <c r="E102" i="11"/>
  <c r="F102" i="11"/>
  <c r="G102" i="11"/>
  <c r="H102" i="11"/>
  <c r="I102" i="11"/>
  <c r="J102" i="11"/>
  <c r="K102" i="11"/>
  <c r="L102" i="11"/>
  <c r="D103" i="11"/>
  <c r="E103" i="11"/>
  <c r="F103" i="11"/>
  <c r="G103" i="11"/>
  <c r="H103" i="11"/>
  <c r="I103" i="11"/>
  <c r="J103" i="11"/>
  <c r="K103" i="11"/>
  <c r="L103" i="11"/>
  <c r="D104" i="11"/>
  <c r="E104" i="11"/>
  <c r="F104" i="11"/>
  <c r="G104" i="11"/>
  <c r="H104" i="11"/>
  <c r="I104" i="11"/>
  <c r="J104" i="11"/>
  <c r="K104" i="11"/>
  <c r="L104" i="11"/>
  <c r="D105" i="11"/>
  <c r="E105" i="11"/>
  <c r="F105" i="11"/>
  <c r="G105" i="11"/>
  <c r="H105" i="11"/>
  <c r="I105" i="11"/>
  <c r="J105" i="11"/>
  <c r="K105" i="11"/>
  <c r="L105" i="11"/>
  <c r="D106" i="11"/>
  <c r="E106" i="11"/>
  <c r="F106" i="11"/>
  <c r="G106" i="11"/>
  <c r="H106" i="11"/>
  <c r="I106" i="11"/>
  <c r="J106" i="11"/>
  <c r="K106" i="11"/>
  <c r="L106" i="11"/>
  <c r="D107" i="11"/>
  <c r="E107" i="11"/>
  <c r="F107" i="11"/>
  <c r="G107" i="11"/>
  <c r="H107" i="11"/>
  <c r="I107" i="11"/>
  <c r="J107" i="11"/>
  <c r="K107" i="11"/>
  <c r="L107" i="11"/>
  <c r="D108" i="11"/>
  <c r="E108" i="11"/>
  <c r="F108" i="11"/>
  <c r="G108" i="11"/>
  <c r="H108" i="11"/>
  <c r="I108" i="11"/>
  <c r="J108" i="11"/>
  <c r="K108" i="11"/>
  <c r="L108" i="11"/>
  <c r="D109" i="11"/>
  <c r="E109" i="11"/>
  <c r="F109" i="11"/>
  <c r="G109" i="11"/>
  <c r="H109" i="11"/>
  <c r="I109" i="11"/>
  <c r="J109" i="11"/>
  <c r="K109" i="11"/>
  <c r="L109" i="11"/>
  <c r="D110" i="11"/>
  <c r="E110" i="11"/>
  <c r="F110" i="11"/>
  <c r="G110" i="11"/>
  <c r="H110" i="11"/>
  <c r="I110" i="11"/>
  <c r="J110" i="11"/>
  <c r="K110" i="11"/>
  <c r="L110" i="11"/>
  <c r="D111" i="11"/>
  <c r="E111" i="11"/>
  <c r="F111" i="11"/>
  <c r="G111" i="11"/>
  <c r="H111" i="11"/>
  <c r="I111" i="11"/>
  <c r="J111" i="11"/>
  <c r="K111" i="11"/>
  <c r="L111" i="11"/>
  <c r="D112" i="11"/>
  <c r="E112" i="11"/>
  <c r="F112" i="11"/>
  <c r="G112" i="11"/>
  <c r="H112" i="11"/>
  <c r="I112" i="11"/>
  <c r="J112" i="11"/>
  <c r="K112" i="11"/>
  <c r="L112" i="11"/>
  <c r="D113" i="11"/>
  <c r="E113" i="11"/>
  <c r="F113" i="11"/>
  <c r="G113" i="11"/>
  <c r="H113" i="11"/>
  <c r="I113" i="11"/>
  <c r="J113" i="11"/>
  <c r="K113" i="11"/>
  <c r="L113" i="11"/>
  <c r="D114" i="11"/>
  <c r="E114" i="11"/>
  <c r="F114" i="11"/>
  <c r="G114" i="11"/>
  <c r="H114" i="11"/>
  <c r="I114" i="11"/>
  <c r="J114" i="11"/>
  <c r="K114" i="11"/>
  <c r="L114" i="11"/>
  <c r="D115" i="11"/>
  <c r="E115" i="11"/>
  <c r="F115" i="11"/>
  <c r="G115" i="11"/>
  <c r="H115" i="11"/>
  <c r="I115" i="11"/>
  <c r="J115" i="11"/>
  <c r="K115" i="11"/>
  <c r="L115" i="11"/>
  <c r="D116" i="11"/>
  <c r="E116" i="11"/>
  <c r="F116" i="11"/>
  <c r="G116" i="11"/>
  <c r="H116" i="11"/>
  <c r="I116" i="11"/>
  <c r="J116" i="11"/>
  <c r="K116" i="11"/>
  <c r="L116" i="11"/>
  <c r="D117" i="11"/>
  <c r="E117" i="11"/>
  <c r="F117" i="11"/>
  <c r="G117" i="11"/>
  <c r="H117" i="11"/>
  <c r="I117" i="11"/>
  <c r="J117" i="11"/>
  <c r="K117" i="11"/>
  <c r="L117" i="11"/>
  <c r="D118" i="11"/>
  <c r="E118" i="11"/>
  <c r="F118" i="11"/>
  <c r="G118" i="11"/>
  <c r="H118" i="11"/>
  <c r="I118" i="11"/>
  <c r="J118" i="11"/>
  <c r="K118" i="11"/>
  <c r="L118" i="11"/>
  <c r="D119" i="11"/>
  <c r="E119" i="11"/>
  <c r="F119" i="11"/>
  <c r="G119" i="11"/>
  <c r="H119" i="11"/>
  <c r="I119" i="11"/>
  <c r="J119" i="11"/>
  <c r="K119" i="11"/>
  <c r="L119" i="11"/>
  <c r="D120" i="11"/>
  <c r="E120" i="11"/>
  <c r="F120" i="11"/>
  <c r="G120" i="11"/>
  <c r="H120" i="11"/>
  <c r="I120" i="11"/>
  <c r="J120" i="11"/>
  <c r="K120" i="11"/>
  <c r="L120" i="11"/>
  <c r="D121" i="11"/>
  <c r="E121" i="11"/>
  <c r="F121" i="11"/>
  <c r="G121" i="11"/>
  <c r="H121" i="11"/>
  <c r="I121" i="11"/>
  <c r="J121" i="11"/>
  <c r="K121" i="11"/>
  <c r="L121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3" i="11"/>
  <c r="D125" i="10"/>
  <c r="D124" i="10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I29" i="8"/>
  <c r="C24" i="8"/>
  <c r="I25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C22" i="7"/>
  <c r="B18" i="7"/>
  <c r="B22" i="7"/>
  <c r="B23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A1</author>
  </authors>
  <commentList>
    <comment ref="H13" authorId="0" shapeId="0" xr:uid="{F833B28D-6D9E-D34C-9479-03CFC2A60D2E}">
      <text>
        <r>
          <rPr>
            <b/>
            <sz val="10"/>
            <color rgb="FF000000"/>
            <rFont val="Tahoma"/>
            <family val="2"/>
          </rPr>
          <t>A1: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This is the Std Deviation of the Residuals</t>
        </r>
      </text>
    </comment>
    <comment ref="B17" authorId="0" shapeId="0" xr:uid="{FBFE0893-62A2-3545-B5AD-AAFA52F64238}">
      <text>
        <r>
          <rPr>
            <b/>
            <sz val="10"/>
            <color rgb="FF000000"/>
            <rFont val="Tahoma"/>
            <family val="2"/>
          </rPr>
          <t>A1: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This is Alpha</t>
        </r>
      </text>
    </comment>
    <comment ref="B18" authorId="0" shapeId="0" xr:uid="{65989F7F-51B3-294B-90F2-17D9F309EFF3}">
      <text>
        <r>
          <rPr>
            <b/>
            <sz val="10"/>
            <color rgb="FF000000"/>
            <rFont val="Tahoma"/>
            <family val="2"/>
          </rPr>
          <t>A1: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This is Beta
</t>
        </r>
      </text>
    </comment>
  </commentList>
</comments>
</file>

<file path=xl/sharedStrings.xml><?xml version="1.0" encoding="utf-8"?>
<sst xmlns="http://schemas.openxmlformats.org/spreadsheetml/2006/main" count="695" uniqueCount="146">
  <si>
    <t>Date</t>
  </si>
  <si>
    <t>Market Cap</t>
  </si>
  <si>
    <t>Industry</t>
  </si>
  <si>
    <t>ACN</t>
  </si>
  <si>
    <t>Founded</t>
  </si>
  <si>
    <t>182.77B</t>
  </si>
  <si>
    <t>SBUX</t>
  </si>
  <si>
    <t>133.989B</t>
  </si>
  <si>
    <t>Beta</t>
  </si>
  <si>
    <t>Restaurants</t>
  </si>
  <si>
    <t>SONY</t>
  </si>
  <si>
    <t>138.029B</t>
  </si>
  <si>
    <t>Consumer Electronics</t>
  </si>
  <si>
    <t>QQQ</t>
  </si>
  <si>
    <t>153.76B</t>
  </si>
  <si>
    <t>ETF</t>
  </si>
  <si>
    <t>BAC</t>
  </si>
  <si>
    <t>345.608B</t>
  </si>
  <si>
    <t>Banking</t>
  </si>
  <si>
    <t>MSFT</t>
  </si>
  <si>
    <t>1.93T</t>
  </si>
  <si>
    <t>Software</t>
  </si>
  <si>
    <t>MA</t>
  </si>
  <si>
    <t>377.319B</t>
  </si>
  <si>
    <t>Credit Services</t>
  </si>
  <si>
    <t>GM</t>
  </si>
  <si>
    <t>Auto Manufacturers</t>
  </si>
  <si>
    <t>85.965B</t>
  </si>
  <si>
    <t>WMT</t>
  </si>
  <si>
    <t>Discount Stores</t>
  </si>
  <si>
    <t>393.826B</t>
  </si>
  <si>
    <t>NKE</t>
  </si>
  <si>
    <t>Footwear</t>
  </si>
  <si>
    <t>215.887B</t>
  </si>
  <si>
    <t xml:space="preserve">Information Technology </t>
  </si>
  <si>
    <t>Price/Book Ratio</t>
  </si>
  <si>
    <t>N/A</t>
  </si>
  <si>
    <t>Expected Return</t>
  </si>
  <si>
    <t>Std. Dev.</t>
  </si>
  <si>
    <t>Statistics</t>
  </si>
  <si>
    <t>Correlation</t>
  </si>
  <si>
    <t>Stock</t>
  </si>
  <si>
    <t>Weights</t>
  </si>
  <si>
    <t>Variables</t>
  </si>
  <si>
    <t>Objective</t>
  </si>
  <si>
    <t>Portfolio Std. Dev.</t>
  </si>
  <si>
    <t>Contraints</t>
  </si>
  <si>
    <t>Information</t>
  </si>
  <si>
    <t>Portfolio Return</t>
  </si>
  <si>
    <t>Sum of weights</t>
  </si>
  <si>
    <t>Targeted Level</t>
  </si>
  <si>
    <t>w1</t>
  </si>
  <si>
    <t>w2</t>
  </si>
  <si>
    <t>w3</t>
  </si>
  <si>
    <t>w4</t>
  </si>
  <si>
    <t>w5</t>
  </si>
  <si>
    <t>Targeted Levels Portfolio</t>
  </si>
  <si>
    <t>Info</t>
  </si>
  <si>
    <t>Solver</t>
  </si>
  <si>
    <t xml:space="preserve"> </t>
  </si>
  <si>
    <t>E(R)</t>
  </si>
  <si>
    <t>Sharpe Ratio</t>
  </si>
  <si>
    <t>Rf</t>
  </si>
  <si>
    <t>Return</t>
  </si>
  <si>
    <t>S&amp;P 500</t>
  </si>
  <si>
    <t xml:space="preserve">RF </t>
  </si>
  <si>
    <t>Std. Dev</t>
  </si>
  <si>
    <t>SP500 -rf</t>
  </si>
  <si>
    <t>ACN - rf</t>
  </si>
  <si>
    <t>SBUX - rf</t>
  </si>
  <si>
    <t>SONY - rf</t>
  </si>
  <si>
    <t>QQQ - rf</t>
  </si>
  <si>
    <t>BAC - rf</t>
  </si>
  <si>
    <t>MSFT - rf</t>
  </si>
  <si>
    <t>MA - rf</t>
  </si>
  <si>
    <t>GM - rf</t>
  </si>
  <si>
    <t>WMT - rf</t>
  </si>
  <si>
    <t>NKE - rf</t>
  </si>
  <si>
    <t>Alpha</t>
  </si>
  <si>
    <t>Std. Dev of Residuals</t>
  </si>
  <si>
    <t>Required Component (CAPM Return)</t>
  </si>
  <si>
    <t>Mispricing Component (Alpha)</t>
  </si>
  <si>
    <t>Variance of Return</t>
  </si>
  <si>
    <t>Systematic Risk</t>
  </si>
  <si>
    <t>Idiosyncratic (Residual) Risk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</si>
  <si>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</si>
  <si>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</si>
  <si>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</si>
  <si>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</si>
  <si>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</si>
  <si>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</si>
  <si>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</si>
  <si>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</si>
  <si>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</si>
  <si>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</si>
  <si>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</si>
  <si>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</si>
  <si>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</si>
  <si>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</si>
  <si>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</si>
  <si>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</si>
  <si>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</si>
  <si>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</si>
  <si>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</si>
  <si>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</si>
  <si>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</si>
  <si>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</si>
  <si>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</si>
  <si>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Decomposed Returns</t>
  </si>
  <si>
    <t>Decomposed Risk</t>
  </si>
  <si>
    <t>SP500 - rf</t>
  </si>
  <si>
    <t>Which stock has the highest total return?</t>
  </si>
  <si>
    <t>MA has the highest total return.</t>
  </si>
  <si>
    <t>Which stock has the highest required return</t>
  </si>
  <si>
    <t>BAC has the highest required return.</t>
  </si>
  <si>
    <t>Which stock has the biggest mispricing historically?</t>
  </si>
  <si>
    <t>MA has the biggest mispricing historically.</t>
  </si>
  <si>
    <t>Which stock has the highest total risk?</t>
  </si>
  <si>
    <t>SONY has the highest total risk.</t>
  </si>
  <si>
    <t>Sharpe ratio</t>
  </si>
  <si>
    <t>Risk Free</t>
  </si>
  <si>
    <t>Risk Free Return</t>
  </si>
  <si>
    <t>Weight in Rf</t>
  </si>
  <si>
    <t>Optimal Risky Portfolio</t>
  </si>
  <si>
    <t>Weight in rf</t>
  </si>
  <si>
    <t>Risk-Free</t>
  </si>
  <si>
    <t>Expected Returns</t>
  </si>
  <si>
    <t>Capital Market Line</t>
  </si>
  <si>
    <t>Mean Variance Frontier</t>
  </si>
  <si>
    <t>Tangent Portfolio</t>
  </si>
  <si>
    <t>Global Minimum Variance Portfolio</t>
  </si>
  <si>
    <t>Interval</t>
  </si>
  <si>
    <t>No Short-Selling</t>
  </si>
  <si>
    <t>Weight &gt; 0</t>
  </si>
  <si>
    <t>Minimum Variance</t>
  </si>
  <si>
    <t>Do they sometimes contact? </t>
  </si>
  <si>
    <t>Compare the mean-variance frontier with short selling constraint with the mean-variance frontier without short selling constraint:</t>
  </si>
  <si>
    <t>If so, when do they contact?</t>
  </si>
  <si>
    <t>There are a few points where the two frontiers have contact.</t>
  </si>
  <si>
    <t>They seem to contact near the Global Minimum Variance Portfolio.</t>
  </si>
  <si>
    <t>What is the impact of short selling constraint on portfolio diversification?</t>
  </si>
  <si>
    <t xml:space="preserve">A short selling constraint does not allow the mean-variance frontier to maximize the returns to risk. </t>
  </si>
  <si>
    <t>When we allow short-selling the portfolios produces the most efficient frontier.</t>
  </si>
  <si>
    <t>Max Sharpe Ratio</t>
  </si>
  <si>
    <t>Risk- Free</t>
  </si>
  <si>
    <t>Combination of Tangent Portfolio and Rf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</si>
</sst>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5" formatCode="0.0000"/>
    <numFmt numFmtId="166" formatCode="0.000"/>
    <numFmt numFmtId="167" formatCode="0.0"/>
    <numFmt numFmtId="174" formatCode="0.0%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4"/>
      <color theme="4" tint="-0.249977111117893"/>
      <name val="Calibri"/>
      <family val="2"/>
      <scheme val="minor"/>
    </font>
    <font>
      <sz val="8"/>
      <name val="Calibri"/>
      <family val="2"/>
      <scheme val="minor"/>
    </font>
    <font>
      <sz val="13"/>
      <color rgb="FF000000"/>
      <name val="Helvetica Neue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3"/>
      <color rgb="FF000000"/>
      <name val="Calibri"/>
      <family val="2"/>
      <scheme val="minor"/>
    </font>
    <font>
      <sz val="14"/>
      <color rgb="FF000000"/>
      <name val="Helvetica Neue"/>
      <family val="2"/>
    </font>
    <font>
      <b/>
      <sz val="14"/>
      <color rgb="FF5B636A"/>
      <name val="Helvetica Neue"/>
      <family val="2"/>
    </font>
    <font>
      <b/>
      <sz val="12"/>
      <color theme="1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</fills>
  <borders count="2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80">
    <xf numFmtId="0" fontId="0" fillId="0" borderId="0" xfId="0"/>
    <xf numFmtId="14" fontId="0" fillId="0" borderId="0" xfId="0" applyNumberFormat="1"/>
    <xf numFmtId="165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10" fontId="0" fillId="0" borderId="0" xfId="1" applyNumberFormat="1" applyFont="1"/>
    <xf numFmtId="0" fontId="0" fillId="0" borderId="0" xfId="0" applyFill="1" applyBorder="1" applyAlignment="1"/>
    <xf numFmtId="0" fontId="0" fillId="0" borderId="2" xfId="0" applyFill="1" applyBorder="1" applyAlignment="1"/>
    <xf numFmtId="0" fontId="3" fillId="0" borderId="3" xfId="0" applyFont="1" applyFill="1" applyBorder="1" applyAlignment="1">
      <alignment horizontal="center"/>
    </xf>
    <xf numFmtId="167" fontId="0" fillId="0" borderId="0" xfId="0" applyNumberFormat="1" applyFill="1" applyBorder="1" applyAlignment="1"/>
    <xf numFmtId="10" fontId="0" fillId="0" borderId="0" xfId="0" applyNumberFormat="1"/>
    <xf numFmtId="0" fontId="5" fillId="0" borderId="0" xfId="0" applyFont="1"/>
    <xf numFmtId="0" fontId="0" fillId="0" borderId="7" xfId="0" applyBorder="1"/>
    <xf numFmtId="10" fontId="0" fillId="0" borderId="0" xfId="0" applyNumberFormat="1" applyBorder="1"/>
    <xf numFmtId="10" fontId="0" fillId="0" borderId="8" xfId="0" applyNumberFormat="1" applyBorder="1"/>
    <xf numFmtId="10" fontId="0" fillId="0" borderId="2" xfId="0" applyNumberFormat="1" applyBorder="1"/>
    <xf numFmtId="10" fontId="0" fillId="0" borderId="10" xfId="0" applyNumberFormat="1" applyBorder="1"/>
    <xf numFmtId="0" fontId="3" fillId="0" borderId="11" xfId="0" applyFont="1" applyFill="1" applyBorder="1" applyAlignment="1">
      <alignment horizontal="center"/>
    </xf>
    <xf numFmtId="0" fontId="0" fillId="0" borderId="7" xfId="0" applyFill="1" applyBorder="1" applyAlignment="1"/>
    <xf numFmtId="0" fontId="0" fillId="0" borderId="9" xfId="0" applyFill="1" applyBorder="1" applyAlignment="1"/>
    <xf numFmtId="0" fontId="0" fillId="0" borderId="0" xfId="0" applyBorder="1"/>
    <xf numFmtId="10" fontId="0" fillId="0" borderId="0" xfId="1" applyNumberFormat="1" applyFont="1" applyBorder="1"/>
    <xf numFmtId="10" fontId="0" fillId="0" borderId="8" xfId="1" applyNumberFormat="1" applyFont="1" applyBorder="1"/>
    <xf numFmtId="10" fontId="0" fillId="0" borderId="2" xfId="1" applyNumberFormat="1" applyFont="1" applyBorder="1"/>
    <xf numFmtId="0" fontId="3" fillId="0" borderId="3" xfId="0" applyFont="1" applyFill="1" applyBorder="1" applyAlignment="1">
      <alignment horizontal="centerContinuous"/>
    </xf>
    <xf numFmtId="0" fontId="0" fillId="0" borderId="8" xfId="0" applyBorder="1"/>
    <xf numFmtId="0" fontId="3" fillId="0" borderId="11" xfId="0" applyFont="1" applyFill="1" applyBorder="1" applyAlignment="1">
      <alignment horizontal="centerContinuous"/>
    </xf>
    <xf numFmtId="0" fontId="3" fillId="0" borderId="12" xfId="0" applyFont="1" applyFill="1" applyBorder="1" applyAlignment="1">
      <alignment horizontal="center"/>
    </xf>
    <xf numFmtId="0" fontId="0" fillId="0" borderId="8" xfId="0" applyFill="1" applyBorder="1" applyAlignment="1"/>
    <xf numFmtId="0" fontId="0" fillId="0" borderId="10" xfId="0" applyFill="1" applyBorder="1" applyAlignment="1"/>
    <xf numFmtId="10" fontId="0" fillId="2" borderId="0" xfId="1" applyNumberFormat="1" applyFont="1" applyFill="1" applyBorder="1"/>
    <xf numFmtId="0" fontId="0" fillId="2" borderId="0" xfId="0" applyFill="1" applyBorder="1" applyAlignment="1"/>
    <xf numFmtId="0" fontId="0" fillId="2" borderId="2" xfId="0" applyFill="1" applyBorder="1" applyAlignment="1"/>
    <xf numFmtId="0" fontId="0" fillId="2" borderId="6" xfId="0" applyFill="1" applyBorder="1"/>
    <xf numFmtId="0" fontId="0" fillId="2" borderId="6" xfId="0" applyFill="1" applyBorder="1" applyAlignment="1">
      <alignment horizontal="center" vertical="center"/>
    </xf>
    <xf numFmtId="0" fontId="10" fillId="2" borderId="13" xfId="0" applyFont="1" applyFill="1" applyBorder="1" applyAlignment="1">
      <alignment horizontal="center" vertical="center"/>
    </xf>
    <xf numFmtId="0" fontId="10" fillId="2" borderId="15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10" fontId="0" fillId="3" borderId="0" xfId="0" applyNumberFormat="1" applyFill="1" applyBorder="1"/>
    <xf numFmtId="10" fontId="0" fillId="3" borderId="8" xfId="0" applyNumberFormat="1" applyFill="1" applyBorder="1"/>
    <xf numFmtId="10" fontId="0" fillId="3" borderId="2" xfId="0" applyNumberFormat="1" applyFill="1" applyBorder="1"/>
    <xf numFmtId="10" fontId="0" fillId="3" borderId="10" xfId="0" applyNumberFormat="1" applyFill="1" applyBorder="1"/>
    <xf numFmtId="14" fontId="0" fillId="3" borderId="7" xfId="0" applyNumberFormat="1" applyFont="1" applyFill="1" applyBorder="1" applyAlignment="1">
      <alignment horizontal="center" vertical="center"/>
    </xf>
    <xf numFmtId="14" fontId="0" fillId="3" borderId="9" xfId="0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14" fontId="0" fillId="3" borderId="17" xfId="0" applyNumberFormat="1" applyFont="1" applyFill="1" applyBorder="1" applyAlignment="1">
      <alignment horizontal="center" vertical="center"/>
    </xf>
    <xf numFmtId="14" fontId="0" fillId="3" borderId="18" xfId="0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 wrapText="1"/>
    </xf>
    <xf numFmtId="10" fontId="2" fillId="3" borderId="16" xfId="1" applyNumberFormat="1" applyFont="1" applyFill="1" applyBorder="1" applyAlignment="1">
      <alignment horizontal="center" vertical="center"/>
    </xf>
    <xf numFmtId="10" fontId="2" fillId="3" borderId="17" xfId="1" applyNumberFormat="1" applyFont="1" applyFill="1" applyBorder="1" applyAlignment="1">
      <alignment horizontal="center" vertical="center"/>
    </xf>
    <xf numFmtId="10" fontId="2" fillId="3" borderId="18" xfId="1" applyNumberFormat="1" applyFont="1" applyFill="1" applyBorder="1" applyAlignment="1">
      <alignment horizontal="center" vertical="center"/>
    </xf>
    <xf numFmtId="10" fontId="0" fillId="3" borderId="0" xfId="1" applyNumberFormat="1" applyFont="1" applyFill="1" applyBorder="1"/>
    <xf numFmtId="2" fontId="0" fillId="3" borderId="0" xfId="0" applyNumberFormat="1" applyFill="1" applyBorder="1"/>
    <xf numFmtId="2" fontId="0" fillId="0" borderId="0" xfId="0" applyNumberFormat="1" applyBorder="1"/>
    <xf numFmtId="2" fontId="0" fillId="0" borderId="2" xfId="0" applyNumberFormat="1" applyBorder="1"/>
    <xf numFmtId="10" fontId="0" fillId="3" borderId="7" xfId="0" applyNumberFormat="1" applyFill="1" applyBorder="1"/>
    <xf numFmtId="10" fontId="0" fillId="0" borderId="7" xfId="0" applyNumberFormat="1" applyBorder="1"/>
    <xf numFmtId="10" fontId="0" fillId="0" borderId="9" xfId="0" applyNumberFormat="1" applyBorder="1"/>
    <xf numFmtId="0" fontId="10" fillId="2" borderId="13" xfId="0" applyFont="1" applyFill="1" applyBorder="1" applyAlignment="1">
      <alignment horizontal="center"/>
    </xf>
    <xf numFmtId="0" fontId="10" fillId="2" borderId="15" xfId="0" applyFont="1" applyFill="1" applyBorder="1" applyAlignment="1">
      <alignment horizontal="center"/>
    </xf>
    <xf numFmtId="0" fontId="10" fillId="2" borderId="1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44" fontId="0" fillId="3" borderId="0" xfId="0" applyNumberFormat="1" applyFill="1" applyBorder="1" applyAlignment="1">
      <alignment horizontal="center" vertical="center"/>
    </xf>
    <xf numFmtId="44" fontId="0" fillId="3" borderId="8" xfId="0" applyNumberFormat="1" applyFill="1" applyBorder="1" applyAlignment="1">
      <alignment horizontal="center" vertical="center"/>
    </xf>
    <xf numFmtId="44" fontId="0" fillId="0" borderId="0" xfId="0" applyNumberFormat="1" applyBorder="1" applyAlignment="1">
      <alignment horizontal="center" vertical="center"/>
    </xf>
    <xf numFmtId="44" fontId="0" fillId="0" borderId="8" xfId="0" applyNumberFormat="1" applyBorder="1" applyAlignment="1">
      <alignment horizontal="center" vertical="center"/>
    </xf>
    <xf numFmtId="44" fontId="0" fillId="0" borderId="2" xfId="0" applyNumberFormat="1" applyBorder="1" applyAlignment="1">
      <alignment horizontal="center" vertical="center"/>
    </xf>
    <xf numFmtId="44" fontId="0" fillId="0" borderId="10" xfId="0" applyNumberFormat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0" borderId="17" xfId="0" applyFont="1" applyBorder="1"/>
    <xf numFmtId="0" fontId="2" fillId="3" borderId="17" xfId="0" applyFont="1" applyFill="1" applyBorder="1"/>
    <xf numFmtId="0" fontId="2" fillId="3" borderId="18" xfId="0" applyFont="1" applyFill="1" applyBorder="1"/>
    <xf numFmtId="0" fontId="0" fillId="4" borderId="8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10" fontId="0" fillId="3" borderId="8" xfId="1" applyNumberFormat="1" applyFont="1" applyFill="1" applyBorder="1"/>
    <xf numFmtId="14" fontId="0" fillId="3" borderId="17" xfId="0" applyNumberForma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18" xfId="0" applyNumberFormat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11" fillId="2" borderId="13" xfId="0" applyFont="1" applyFill="1" applyBorder="1" applyAlignment="1">
      <alignment horizontal="center" vertical="center"/>
    </xf>
    <xf numFmtId="0" fontId="11" fillId="2" borderId="15" xfId="0" applyFont="1" applyFill="1" applyBorder="1" applyAlignment="1">
      <alignment horizontal="center" vertical="center"/>
    </xf>
    <xf numFmtId="0" fontId="11" fillId="2" borderId="14" xfId="0" applyFont="1" applyFill="1" applyBorder="1" applyAlignment="1">
      <alignment horizontal="center" vertical="center"/>
    </xf>
    <xf numFmtId="10" fontId="12" fillId="3" borderId="0" xfId="1" applyNumberFormat="1" applyFont="1" applyFill="1" applyBorder="1"/>
    <xf numFmtId="10" fontId="12" fillId="3" borderId="8" xfId="1" applyNumberFormat="1" applyFont="1" applyFill="1" applyBorder="1"/>
    <xf numFmtId="0" fontId="2" fillId="2" borderId="2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2" fontId="0" fillId="3" borderId="0" xfId="0" applyNumberFormat="1" applyFill="1" applyBorder="1" applyAlignment="1"/>
    <xf numFmtId="2" fontId="0" fillId="3" borderId="8" xfId="0" applyNumberFormat="1" applyFill="1" applyBorder="1" applyAlignment="1"/>
    <xf numFmtId="0" fontId="3" fillId="3" borderId="4" xfId="0" applyFont="1" applyFill="1" applyBorder="1" applyAlignment="1">
      <alignment horizontal="center"/>
    </xf>
    <xf numFmtId="2" fontId="10" fillId="0" borderId="4" xfId="0" applyNumberFormat="1" applyFont="1" applyFill="1" applyBorder="1" applyAlignment="1"/>
    <xf numFmtId="2" fontId="13" fillId="3" borderId="0" xfId="0" applyNumberFormat="1" applyFont="1" applyFill="1" applyBorder="1" applyAlignment="1"/>
    <xf numFmtId="2" fontId="13" fillId="3" borderId="8" xfId="0" applyNumberFormat="1" applyFont="1" applyFill="1" applyBorder="1" applyAlignment="1"/>
    <xf numFmtId="2" fontId="13" fillId="0" borderId="0" xfId="0" applyNumberFormat="1" applyFont="1" applyFill="1" applyBorder="1" applyAlignment="1"/>
    <xf numFmtId="2" fontId="13" fillId="0" borderId="2" xfId="0" applyNumberFormat="1" applyFont="1" applyFill="1" applyBorder="1" applyAlignment="1"/>
    <xf numFmtId="0" fontId="10" fillId="2" borderId="15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0" fillId="2" borderId="16" xfId="0" applyFont="1" applyFill="1" applyBorder="1" applyAlignment="1">
      <alignment horizontal="center" vertical="center"/>
    </xf>
    <xf numFmtId="0" fontId="10" fillId="2" borderId="17" xfId="0" applyFont="1" applyFill="1" applyBorder="1" applyAlignment="1">
      <alignment horizontal="center" vertical="center"/>
    </xf>
    <xf numFmtId="0" fontId="10" fillId="2" borderId="1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0" fillId="2" borderId="5" xfId="0" applyFill="1" applyBorder="1"/>
    <xf numFmtId="0" fontId="2" fillId="2" borderId="10" xfId="0" applyFont="1" applyFill="1" applyBorder="1" applyAlignment="1">
      <alignment horizontal="center" vertical="center" wrapText="1"/>
    </xf>
    <xf numFmtId="10" fontId="0" fillId="3" borderId="5" xfId="1" applyNumberFormat="1" applyFont="1" applyFill="1" applyBorder="1"/>
    <xf numFmtId="10" fontId="0" fillId="3" borderId="6" xfId="1" applyNumberFormat="1" applyFont="1" applyFill="1" applyBorder="1"/>
    <xf numFmtId="10" fontId="0" fillId="0" borderId="7" xfId="1" applyNumberFormat="1" applyFont="1" applyBorder="1"/>
    <xf numFmtId="10" fontId="0" fillId="3" borderId="7" xfId="1" applyNumberFormat="1" applyFont="1" applyFill="1" applyBorder="1"/>
    <xf numFmtId="0" fontId="4" fillId="3" borderId="4" xfId="0" applyFont="1" applyFill="1" applyBorder="1" applyAlignment="1">
      <alignment horizontal="center"/>
    </xf>
    <xf numFmtId="0" fontId="11" fillId="3" borderId="4" xfId="0" applyFont="1" applyFill="1" applyBorder="1"/>
    <xf numFmtId="0" fontId="2" fillId="3" borderId="4" xfId="0" applyFont="1" applyFill="1" applyBorder="1"/>
    <xf numFmtId="0" fontId="2" fillId="3" borderId="4" xfId="0" applyFont="1" applyFill="1" applyBorder="1" applyAlignment="1">
      <alignment horizontal="center" vertical="center"/>
    </xf>
    <xf numFmtId="10" fontId="0" fillId="4" borderId="10" xfId="1" applyNumberFormat="1" applyFont="1" applyFill="1" applyBorder="1"/>
    <xf numFmtId="10" fontId="0" fillId="5" borderId="14" xfId="1" applyNumberFormat="1" applyFont="1" applyFill="1" applyBorder="1"/>
    <xf numFmtId="10" fontId="0" fillId="5" borderId="13" xfId="1" applyNumberFormat="1" applyFont="1" applyFill="1" applyBorder="1" applyAlignment="1">
      <alignment horizontal="center" vertical="center"/>
    </xf>
    <xf numFmtId="10" fontId="0" fillId="5" borderId="15" xfId="1" applyNumberFormat="1" applyFont="1" applyFill="1" applyBorder="1" applyAlignment="1">
      <alignment horizontal="center" vertical="center"/>
    </xf>
    <xf numFmtId="10" fontId="0" fillId="5" borderId="14" xfId="1" applyNumberFormat="1" applyFont="1" applyFill="1" applyBorder="1" applyAlignment="1">
      <alignment horizontal="center" vertical="center"/>
    </xf>
    <xf numFmtId="10" fontId="0" fillId="5" borderId="2" xfId="1" applyNumberFormat="1" applyFont="1" applyFill="1" applyBorder="1" applyAlignment="1">
      <alignment horizontal="center" vertical="center"/>
    </xf>
    <xf numFmtId="10" fontId="0" fillId="5" borderId="10" xfId="1" applyNumberFormat="1" applyFont="1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2" fontId="0" fillId="3" borderId="8" xfId="0" applyNumberFormat="1" applyFill="1" applyBorder="1" applyAlignment="1">
      <alignment horizontal="center" vertical="center"/>
    </xf>
    <xf numFmtId="2" fontId="0" fillId="3" borderId="10" xfId="0" applyNumberFormat="1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 vertical="center"/>
    </xf>
    <xf numFmtId="2" fontId="2" fillId="5" borderId="0" xfId="0" applyNumberFormat="1" applyFont="1" applyFill="1" applyBorder="1" applyAlignment="1">
      <alignment horizontal="center" vertical="center"/>
    </xf>
    <xf numFmtId="2" fontId="2" fillId="5" borderId="2" xfId="0" applyNumberFormat="1" applyFont="1" applyFill="1" applyBorder="1" applyAlignment="1">
      <alignment horizontal="center" vertical="center"/>
    </xf>
    <xf numFmtId="0" fontId="0" fillId="3" borderId="4" xfId="0" applyFill="1" applyBorder="1"/>
    <xf numFmtId="0" fontId="0" fillId="5" borderId="14" xfId="1" applyNumberFormat="1" applyFont="1" applyFill="1" applyBorder="1"/>
    <xf numFmtId="2" fontId="0" fillId="5" borderId="13" xfId="0" applyNumberFormat="1" applyFill="1" applyBorder="1" applyAlignment="1">
      <alignment horizontal="center" vertical="center"/>
    </xf>
    <xf numFmtId="1" fontId="0" fillId="5" borderId="9" xfId="0" applyNumberFormat="1" applyFill="1" applyBorder="1" applyAlignment="1">
      <alignment horizontal="center" vertical="center"/>
    </xf>
    <xf numFmtId="2" fontId="0" fillId="5" borderId="4" xfId="0" applyNumberFormat="1" applyFill="1" applyBorder="1" applyAlignment="1">
      <alignment horizontal="center" vertical="center"/>
    </xf>
    <xf numFmtId="2" fontId="0" fillId="3" borderId="4" xfId="0" applyNumberFormat="1" applyFill="1" applyBorder="1" applyAlignment="1">
      <alignment horizontal="center" vertical="center"/>
    </xf>
    <xf numFmtId="2" fontId="2" fillId="5" borderId="19" xfId="0" applyNumberFormat="1" applyFont="1" applyFill="1" applyBorder="1" applyAlignment="1">
      <alignment horizontal="center" vertical="center"/>
    </xf>
    <xf numFmtId="2" fontId="2" fillId="5" borderId="20" xfId="0" applyNumberFormat="1" applyFont="1" applyFill="1" applyBorder="1" applyAlignment="1">
      <alignment horizontal="center" vertical="center"/>
    </xf>
    <xf numFmtId="2" fontId="2" fillId="5" borderId="21" xfId="0" applyNumberFormat="1" applyFont="1" applyFill="1" applyBorder="1" applyAlignment="1">
      <alignment horizontal="center" vertical="center"/>
    </xf>
    <xf numFmtId="10" fontId="12" fillId="5" borderId="2" xfId="0" applyNumberFormat="1" applyFont="1" applyFill="1" applyBorder="1"/>
    <xf numFmtId="10" fontId="12" fillId="5" borderId="10" xfId="0" applyNumberFormat="1" applyFont="1" applyFill="1" applyBorder="1"/>
    <xf numFmtId="0" fontId="11" fillId="3" borderId="18" xfId="0" applyFont="1" applyFill="1" applyBorder="1" applyAlignment="1">
      <alignment horizontal="center" vertical="center"/>
    </xf>
    <xf numFmtId="10" fontId="12" fillId="5" borderId="13" xfId="1" applyNumberFormat="1" applyFont="1" applyFill="1" applyBorder="1"/>
    <xf numFmtId="10" fontId="12" fillId="5" borderId="15" xfId="1" applyNumberFormat="1" applyFont="1" applyFill="1" applyBorder="1"/>
    <xf numFmtId="10" fontId="12" fillId="5" borderId="14" xfId="1" applyNumberFormat="1" applyFont="1" applyFill="1" applyBorder="1"/>
    <xf numFmtId="0" fontId="0" fillId="3" borderId="5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167" fontId="0" fillId="5" borderId="2" xfId="0" applyNumberFormat="1" applyFill="1" applyBorder="1" applyAlignment="1">
      <alignment horizontal="center" vertical="center"/>
    </xf>
    <xf numFmtId="167" fontId="0" fillId="5" borderId="10" xfId="0" applyNumberFormat="1" applyFill="1" applyBorder="1" applyAlignment="1">
      <alignment horizontal="center" vertical="center"/>
    </xf>
    <xf numFmtId="167" fontId="0" fillId="5" borderId="13" xfId="0" applyNumberFormat="1" applyFill="1" applyBorder="1" applyAlignment="1">
      <alignment horizontal="center" vertical="center"/>
    </xf>
    <xf numFmtId="167" fontId="0" fillId="5" borderId="15" xfId="0" applyNumberFormat="1" applyFill="1" applyBorder="1" applyAlignment="1">
      <alignment horizontal="center" vertical="center"/>
    </xf>
    <xf numFmtId="167" fontId="0" fillId="5" borderId="14" xfId="0" applyNumberFormat="1" applyFill="1" applyBorder="1" applyAlignment="1">
      <alignment horizontal="center" vertical="center"/>
    </xf>
    <xf numFmtId="2" fontId="0" fillId="4" borderId="0" xfId="0" applyNumberFormat="1" applyFill="1"/>
    <xf numFmtId="10" fontId="0" fillId="4" borderId="7" xfId="1" applyNumberFormat="1" applyFont="1" applyFill="1" applyBorder="1"/>
    <xf numFmtId="10" fontId="0" fillId="4" borderId="8" xfId="1" applyNumberFormat="1" applyFont="1" applyFill="1" applyBorder="1"/>
    <xf numFmtId="10" fontId="0" fillId="4" borderId="9" xfId="1" applyNumberFormat="1" applyFont="1" applyFill="1" applyBorder="1"/>
    <xf numFmtId="166" fontId="0" fillId="3" borderId="16" xfId="0" applyNumberFormat="1" applyFill="1" applyBorder="1"/>
    <xf numFmtId="166" fontId="0" fillId="0" borderId="17" xfId="0" applyNumberFormat="1" applyBorder="1"/>
    <xf numFmtId="166" fontId="0" fillId="3" borderId="17" xfId="0" applyNumberFormat="1" applyFill="1" applyBorder="1"/>
    <xf numFmtId="166" fontId="0" fillId="0" borderId="18" xfId="0" applyNumberFormat="1" applyBorder="1"/>
    <xf numFmtId="14" fontId="14" fillId="0" borderId="7" xfId="0" applyNumberFormat="1" applyFont="1" applyBorder="1"/>
    <xf numFmtId="4" fontId="7" fillId="0" borderId="0" xfId="0" applyNumberFormat="1" applyFont="1" applyBorder="1"/>
    <xf numFmtId="14" fontId="14" fillId="3" borderId="7" xfId="0" applyNumberFormat="1" applyFont="1" applyFill="1" applyBorder="1"/>
    <xf numFmtId="14" fontId="14" fillId="3" borderId="9" xfId="0" applyNumberFormat="1" applyFont="1" applyFill="1" applyBorder="1"/>
    <xf numFmtId="10" fontId="15" fillId="0" borderId="0" xfId="1" applyNumberFormat="1" applyFont="1" applyBorder="1"/>
    <xf numFmtId="10" fontId="12" fillId="0" borderId="0" xfId="1" applyNumberFormat="1" applyFont="1" applyBorder="1"/>
    <xf numFmtId="10" fontId="12" fillId="0" borderId="8" xfId="1" applyNumberFormat="1" applyFont="1" applyBorder="1"/>
    <xf numFmtId="10" fontId="12" fillId="4" borderId="0" xfId="1" applyNumberFormat="1" applyFont="1" applyFill="1" applyBorder="1"/>
    <xf numFmtId="10" fontId="12" fillId="4" borderId="8" xfId="1" applyNumberFormat="1" applyFont="1" applyFill="1" applyBorder="1"/>
    <xf numFmtId="10" fontId="15" fillId="0" borderId="8" xfId="1" applyNumberFormat="1" applyFont="1" applyBorder="1"/>
    <xf numFmtId="10" fontId="12" fillId="3" borderId="2" xfId="1" applyNumberFormat="1" applyFont="1" applyFill="1" applyBorder="1"/>
    <xf numFmtId="10" fontId="12" fillId="3" borderId="10" xfId="1" applyNumberFormat="1" applyFont="1" applyFill="1" applyBorder="1"/>
    <xf numFmtId="0" fontId="11" fillId="2" borderId="4" xfId="0" applyFont="1" applyFill="1" applyBorder="1" applyAlignment="1">
      <alignment horizontal="center" vertical="center"/>
    </xf>
    <xf numFmtId="0" fontId="16" fillId="0" borderId="1" xfId="0" applyFont="1" applyBorder="1"/>
    <xf numFmtId="10" fontId="0" fillId="5" borderId="4" xfId="1" applyNumberFormat="1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10" fontId="13" fillId="5" borderId="13" xfId="1" applyNumberFormat="1" applyFont="1" applyFill="1" applyBorder="1" applyAlignment="1">
      <alignment horizontal="center" vertical="center"/>
    </xf>
    <xf numFmtId="10" fontId="13" fillId="5" borderId="15" xfId="1" applyNumberFormat="1" applyFont="1" applyFill="1" applyBorder="1" applyAlignment="1">
      <alignment horizontal="center" vertical="center"/>
    </xf>
    <xf numFmtId="10" fontId="13" fillId="5" borderId="4" xfId="1" applyNumberFormat="1" applyFont="1" applyFill="1" applyBorder="1" applyAlignment="1">
      <alignment horizontal="center" vertical="center"/>
    </xf>
    <xf numFmtId="10" fontId="13" fillId="5" borderId="2" xfId="1" applyNumberFormat="1" applyFont="1" applyFill="1" applyBorder="1" applyAlignment="1">
      <alignment horizontal="center" vertical="center"/>
    </xf>
    <xf numFmtId="0" fontId="12" fillId="0" borderId="0" xfId="0" applyFont="1"/>
    <xf numFmtId="10" fontId="12" fillId="3" borderId="0" xfId="0" applyNumberFormat="1" applyFont="1" applyFill="1" applyBorder="1"/>
    <xf numFmtId="10" fontId="12" fillId="3" borderId="8" xfId="0" applyNumberFormat="1" applyFont="1" applyFill="1" applyBorder="1"/>
    <xf numFmtId="10" fontId="12" fillId="0" borderId="0" xfId="0" applyNumberFormat="1" applyFont="1" applyBorder="1"/>
    <xf numFmtId="10" fontId="12" fillId="0" borderId="8" xfId="0" applyNumberFormat="1" applyFont="1" applyBorder="1"/>
    <xf numFmtId="10" fontId="12" fillId="3" borderId="2" xfId="0" applyNumberFormat="1" applyFont="1" applyFill="1" applyBorder="1"/>
    <xf numFmtId="10" fontId="12" fillId="3" borderId="10" xfId="0" applyNumberFormat="1" applyFont="1" applyFill="1" applyBorder="1"/>
    <xf numFmtId="0" fontId="11" fillId="3" borderId="5" xfId="0" applyFont="1" applyFill="1" applyBorder="1" applyAlignment="1"/>
    <xf numFmtId="0" fontId="11" fillId="3" borderId="1" xfId="0" applyFont="1" applyFill="1" applyBorder="1" applyAlignment="1"/>
    <xf numFmtId="0" fontId="0" fillId="3" borderId="1" xfId="0" applyFill="1" applyBorder="1"/>
    <xf numFmtId="0" fontId="11" fillId="3" borderId="1" xfId="0" applyFont="1" applyFill="1" applyBorder="1"/>
    <xf numFmtId="0" fontId="0" fillId="3" borderId="6" xfId="0" applyFill="1" applyBorder="1"/>
    <xf numFmtId="0" fontId="11" fillId="3" borderId="7" xfId="0" applyFont="1" applyFill="1" applyBorder="1"/>
    <xf numFmtId="0" fontId="12" fillId="3" borderId="0" xfId="0" applyFont="1" applyFill="1" applyBorder="1"/>
    <xf numFmtId="0" fontId="0" fillId="3" borderId="0" xfId="0" applyFill="1" applyBorder="1"/>
    <xf numFmtId="0" fontId="11" fillId="3" borderId="0" xfId="0" applyFont="1" applyFill="1" applyBorder="1"/>
    <xf numFmtId="0" fontId="0" fillId="3" borderId="8" xfId="0" applyFill="1" applyBorder="1"/>
    <xf numFmtId="0" fontId="12" fillId="5" borderId="7" xfId="0" applyFont="1" applyFill="1" applyBorder="1"/>
    <xf numFmtId="0" fontId="12" fillId="5" borderId="0" xfId="0" applyFont="1" applyFill="1" applyBorder="1"/>
    <xf numFmtId="0" fontId="0" fillId="5" borderId="0" xfId="0" applyFill="1" applyBorder="1"/>
    <xf numFmtId="0" fontId="0" fillId="5" borderId="8" xfId="0" applyFill="1" applyBorder="1"/>
    <xf numFmtId="0" fontId="12" fillId="5" borderId="9" xfId="0" applyFont="1" applyFill="1" applyBorder="1"/>
    <xf numFmtId="0" fontId="12" fillId="5" borderId="2" xfId="0" applyFont="1" applyFill="1" applyBorder="1"/>
    <xf numFmtId="0" fontId="0" fillId="5" borderId="2" xfId="0" applyFill="1" applyBorder="1"/>
    <xf numFmtId="0" fontId="0" fillId="5" borderId="10" xfId="0" applyFill="1" applyBorder="1"/>
    <xf numFmtId="10" fontId="0" fillId="3" borderId="5" xfId="1" applyNumberFormat="1" applyFont="1" applyFill="1" applyBorder="1" applyAlignment="1">
      <alignment horizontal="center" vertical="center"/>
    </xf>
    <xf numFmtId="10" fontId="0" fillId="3" borderId="6" xfId="1" applyNumberFormat="1" applyFont="1" applyFill="1" applyBorder="1" applyAlignment="1">
      <alignment horizontal="center" vertical="center"/>
    </xf>
    <xf numFmtId="10" fontId="0" fillId="0" borderId="7" xfId="1" applyNumberFormat="1" applyFont="1" applyBorder="1" applyAlignment="1">
      <alignment horizontal="center" vertical="center"/>
    </xf>
    <xf numFmtId="10" fontId="0" fillId="0" borderId="8" xfId="1" applyNumberFormat="1" applyFont="1" applyBorder="1" applyAlignment="1">
      <alignment horizontal="center" vertical="center"/>
    </xf>
    <xf numFmtId="10" fontId="0" fillId="3" borderId="7" xfId="1" applyNumberFormat="1" applyFont="1" applyFill="1" applyBorder="1" applyAlignment="1">
      <alignment horizontal="center" vertical="center"/>
    </xf>
    <xf numFmtId="10" fontId="0" fillId="3" borderId="8" xfId="1" applyNumberFormat="1" applyFont="1" applyFill="1" applyBorder="1" applyAlignment="1">
      <alignment horizontal="center" vertical="center"/>
    </xf>
    <xf numFmtId="10" fontId="0" fillId="0" borderId="9" xfId="1" applyNumberFormat="1" applyFont="1" applyBorder="1" applyAlignment="1">
      <alignment horizontal="center" vertical="center"/>
    </xf>
    <xf numFmtId="2" fontId="0" fillId="3" borderId="7" xfId="0" applyNumberFormat="1" applyFill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2" fontId="0" fillId="4" borderId="7" xfId="0" applyNumberFormat="1" applyFill="1" applyBorder="1" applyAlignment="1">
      <alignment horizontal="center" vertical="center"/>
    </xf>
    <xf numFmtId="2" fontId="0" fillId="4" borderId="0" xfId="0" applyNumberFormat="1" applyFill="1" applyBorder="1" applyAlignment="1">
      <alignment horizontal="center" vertical="center"/>
    </xf>
    <xf numFmtId="2" fontId="0" fillId="4" borderId="9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10" fontId="0" fillId="4" borderId="7" xfId="1" applyNumberFormat="1" applyFont="1" applyFill="1" applyBorder="1" applyAlignment="1">
      <alignment horizontal="center" vertical="center"/>
    </xf>
    <xf numFmtId="10" fontId="0" fillId="4" borderId="8" xfId="1" applyNumberFormat="1" applyFont="1" applyFill="1" applyBorder="1" applyAlignment="1">
      <alignment horizontal="center" vertical="center"/>
    </xf>
    <xf numFmtId="10" fontId="0" fillId="4" borderId="9" xfId="1" applyNumberFormat="1" applyFont="1" applyFill="1" applyBorder="1" applyAlignment="1">
      <alignment horizontal="center" vertical="center"/>
    </xf>
    <xf numFmtId="10" fontId="0" fillId="4" borderId="10" xfId="1" applyNumberFormat="1" applyFont="1" applyFill="1" applyBorder="1" applyAlignment="1">
      <alignment horizontal="center" vertical="center"/>
    </xf>
    <xf numFmtId="0" fontId="0" fillId="2" borderId="16" xfId="0" applyFill="1" applyBorder="1"/>
    <xf numFmtId="1" fontId="0" fillId="5" borderId="18" xfId="0" applyNumberFormat="1" applyFill="1" applyBorder="1" applyAlignment="1">
      <alignment horizontal="center" vertical="center"/>
    </xf>
    <xf numFmtId="10" fontId="0" fillId="5" borderId="4" xfId="1" applyNumberFormat="1" applyFont="1" applyFill="1" applyBorder="1"/>
    <xf numFmtId="0" fontId="5" fillId="0" borderId="0" xfId="0" applyFont="1" applyAlignment="1"/>
    <xf numFmtId="0" fontId="5" fillId="0" borderId="2" xfId="0" applyFont="1" applyBorder="1" applyAlignment="1">
      <alignment horizontal="center"/>
    </xf>
    <xf numFmtId="2" fontId="0" fillId="3" borderId="5" xfId="0" applyNumberFormat="1" applyFill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10" fontId="0" fillId="0" borderId="10" xfId="1" applyNumberFormat="1" applyFont="1" applyBorder="1" applyAlignment="1">
      <alignment horizontal="center" vertical="center"/>
    </xf>
    <xf numFmtId="2" fontId="0" fillId="2" borderId="13" xfId="0" applyNumberFormat="1" applyFill="1" applyBorder="1" applyAlignment="1">
      <alignment horizontal="center" vertical="center"/>
    </xf>
    <xf numFmtId="9" fontId="0" fillId="3" borderId="1" xfId="1" applyFont="1" applyFill="1" applyBorder="1" applyAlignment="1">
      <alignment horizontal="center" vertical="center"/>
    </xf>
    <xf numFmtId="9" fontId="0" fillId="3" borderId="6" xfId="1" applyFont="1" applyFill="1" applyBorder="1" applyAlignment="1">
      <alignment horizontal="center" vertical="center"/>
    </xf>
    <xf numFmtId="9" fontId="0" fillId="2" borderId="14" xfId="1" applyFont="1" applyFill="1" applyBorder="1" applyAlignment="1">
      <alignment horizontal="center" vertical="center"/>
    </xf>
    <xf numFmtId="9" fontId="0" fillId="2" borderId="15" xfId="1" applyFont="1" applyFill="1" applyBorder="1" applyAlignment="1">
      <alignment horizontal="center" vertical="center"/>
    </xf>
    <xf numFmtId="9" fontId="0" fillId="3" borderId="0" xfId="1" applyFont="1" applyFill="1" applyBorder="1" applyAlignment="1">
      <alignment horizontal="center" vertical="center"/>
    </xf>
    <xf numFmtId="9" fontId="0" fillId="3" borderId="8" xfId="1" applyFont="1" applyFill="1" applyBorder="1" applyAlignment="1">
      <alignment horizontal="center" vertical="center"/>
    </xf>
    <xf numFmtId="9" fontId="0" fillId="0" borderId="8" xfId="1" applyFont="1" applyBorder="1" applyAlignment="1">
      <alignment horizontal="center" vertical="center"/>
    </xf>
    <xf numFmtId="9" fontId="0" fillId="0" borderId="0" xfId="1" applyFont="1" applyBorder="1" applyAlignment="1">
      <alignment horizontal="center" vertical="center"/>
    </xf>
    <xf numFmtId="9" fontId="0" fillId="0" borderId="10" xfId="1" applyFont="1" applyBorder="1" applyAlignment="1">
      <alignment horizontal="center" vertical="center"/>
    </xf>
    <xf numFmtId="9" fontId="0" fillId="0" borderId="2" xfId="1" applyFont="1" applyBorder="1" applyAlignment="1">
      <alignment horizontal="center" vertical="center"/>
    </xf>
    <xf numFmtId="9" fontId="0" fillId="5" borderId="13" xfId="1" applyFont="1" applyFill="1" applyBorder="1" applyAlignment="1">
      <alignment horizontal="center" vertical="center"/>
    </xf>
    <xf numFmtId="9" fontId="0" fillId="5" borderId="4" xfId="1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6" borderId="13" xfId="0" applyFont="1" applyFill="1" applyBorder="1" applyAlignment="1">
      <alignment horizontal="center" vertical="center"/>
    </xf>
    <xf numFmtId="0" fontId="2" fillId="6" borderId="15" xfId="0" applyFont="1" applyFill="1" applyBorder="1" applyAlignment="1">
      <alignment horizontal="center" vertical="center"/>
    </xf>
    <xf numFmtId="0" fontId="2" fillId="6" borderId="14" xfId="0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/>
    </xf>
    <xf numFmtId="0" fontId="2" fillId="6" borderId="17" xfId="0" applyFont="1" applyFill="1" applyBorder="1" applyAlignment="1">
      <alignment horizontal="center" vertical="center"/>
    </xf>
    <xf numFmtId="0" fontId="2" fillId="6" borderId="18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10" xfId="0" applyFont="1" applyFill="1" applyBorder="1" applyAlignment="1">
      <alignment horizontal="center" vertical="center" wrapText="1"/>
    </xf>
    <xf numFmtId="2" fontId="0" fillId="5" borderId="10" xfId="0" applyNumberFormat="1" applyFill="1" applyBorder="1" applyAlignment="1">
      <alignment horizontal="center" vertical="center"/>
    </xf>
    <xf numFmtId="174" fontId="0" fillId="3" borderId="4" xfId="1" applyNumberFormat="1" applyFont="1" applyFill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0" fontId="0" fillId="0" borderId="5" xfId="1" applyNumberFormat="1" applyFont="1" applyBorder="1" applyAlignment="1">
      <alignment horizontal="center" vertical="center"/>
    </xf>
    <xf numFmtId="10" fontId="0" fillId="0" borderId="6" xfId="1" applyNumberFormat="1" applyFont="1" applyBorder="1" applyAlignment="1">
      <alignment horizontal="center" vertical="center"/>
    </xf>
    <xf numFmtId="0" fontId="17" fillId="3" borderId="5" xfId="0" applyFont="1" applyFill="1" applyBorder="1"/>
    <xf numFmtId="0" fontId="2" fillId="3" borderId="7" xfId="0" applyFont="1" applyFill="1" applyBorder="1"/>
    <xf numFmtId="0" fontId="0" fillId="5" borderId="7" xfId="0" applyFill="1" applyBorder="1"/>
    <xf numFmtId="0" fontId="0" fillId="5" borderId="9" xfId="0" applyFont="1" applyFill="1" applyBorder="1"/>
    <xf numFmtId="166" fontId="0" fillId="3" borderId="4" xfId="0" applyNumberFormat="1" applyFill="1" applyBorder="1"/>
    <xf numFmtId="0" fontId="7" fillId="0" borderId="0" xfId="0" applyNumberFormat="1" applyFont="1" applyBorder="1"/>
    <xf numFmtId="0" fontId="15" fillId="0" borderId="0" xfId="1" applyNumberFormat="1" applyFont="1" applyBorder="1"/>
    <xf numFmtId="0" fontId="15" fillId="0" borderId="2" xfId="1" applyNumberFormat="1" applyFont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Individual Securities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Sheet4!$B$4:$F$4</c:f>
              <c:numCache>
                <c:formatCode>0.00%</c:formatCode>
                <c:ptCount val="5"/>
                <c:pt idx="0">
                  <c:v>0.68201674476823382</c:v>
                </c:pt>
                <c:pt idx="1">
                  <c:v>0.72706759541598098</c:v>
                </c:pt>
                <c:pt idx="2">
                  <c:v>1.1893405588011026</c:v>
                </c:pt>
                <c:pt idx="3">
                  <c:v>0.5487850777994232</c:v>
                </c:pt>
                <c:pt idx="4">
                  <c:v>1.132448355308022</c:v>
                </c:pt>
              </c:numCache>
            </c:numRef>
          </c:xVal>
          <c:yVal>
            <c:numRef>
              <c:f>Sheet4!$B$3:$F$3</c:f>
              <c:numCache>
                <c:formatCode>0.00%</c:formatCode>
                <c:ptCount val="5"/>
                <c:pt idx="0">
                  <c:v>0.20446343472257486</c:v>
                </c:pt>
                <c:pt idx="1">
                  <c:v>0.23334839587811365</c:v>
                </c:pt>
                <c:pt idx="2">
                  <c:v>0.16684767731577851</c:v>
                </c:pt>
                <c:pt idx="3">
                  <c:v>0.19746111940972205</c:v>
                </c:pt>
                <c:pt idx="4">
                  <c:v>0.14628966308227639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38-CF44-A94D-E0E0ED4C9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4633008"/>
        <c:axId val="797433952"/>
      </c:scatterChart>
      <c:valAx>
        <c:axId val="844633008"/>
        <c:scaling>
          <c:orientation val="minMax"/>
          <c:min val="0.4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Standard Deviation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433952"/>
        <c:crosses val="autoZero"/>
        <c:crossBetween val="midCat"/>
      </c:valAx>
      <c:valAx>
        <c:axId val="797433952"/>
        <c:scaling>
          <c:orientation val="minMax"/>
          <c:max val="0.26"/>
          <c:min val="0.12000000000000001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Expected 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463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Mean-Variance Frontier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Sheet4!$G$27:$G$52</c:f>
              <c:numCache>
                <c:formatCode>0.00%</c:formatCode>
                <c:ptCount val="26"/>
                <c:pt idx="0">
                  <c:v>1.2199975510772945</c:v>
                </c:pt>
                <c:pt idx="1">
                  <c:v>1.163895324860325</c:v>
                </c:pt>
                <c:pt idx="2">
                  <c:v>1.1084300551894621</c:v>
                </c:pt>
                <c:pt idx="3">
                  <c:v>1.0537167548544784</c:v>
                </c:pt>
                <c:pt idx="4">
                  <c:v>0.99983194244662343</c:v>
                </c:pt>
                <c:pt idx="5">
                  <c:v>0.94696812152481213</c:v>
                </c:pt>
                <c:pt idx="6">
                  <c:v>0.89528762738647083</c:v>
                </c:pt>
                <c:pt idx="7">
                  <c:v>0.84502802981830583</c:v>
                </c:pt>
                <c:pt idx="8">
                  <c:v>0.79639478851121281</c:v>
                </c:pt>
                <c:pt idx="9">
                  <c:v>0.74977037280710135</c:v>
                </c:pt>
                <c:pt idx="10">
                  <c:v>0.70553042128553589</c:v>
                </c:pt>
                <c:pt idx="11">
                  <c:v>0.66415155259185688</c:v>
                </c:pt>
                <c:pt idx="12">
                  <c:v>0.6262291275081443</c:v>
                </c:pt>
                <c:pt idx="13">
                  <c:v>0.59233884242340773</c:v>
                </c:pt>
                <c:pt idx="14">
                  <c:v>0.56330203598811024</c:v>
                </c:pt>
                <c:pt idx="15">
                  <c:v>0.53987002317202626</c:v>
                </c:pt>
                <c:pt idx="16">
                  <c:v>0.52279698631231708</c:v>
                </c:pt>
                <c:pt idx="17">
                  <c:v>0.5127183156286208</c:v>
                </c:pt>
                <c:pt idx="18">
                  <c:v>0.51004955071546976</c:v>
                </c:pt>
                <c:pt idx="19">
                  <c:v>0.51490518219221848</c:v>
                </c:pt>
                <c:pt idx="20">
                  <c:v>0.52707754179425037</c:v>
                </c:pt>
                <c:pt idx="21">
                  <c:v>0.54607905226097697</c:v>
                </c:pt>
                <c:pt idx="22">
                  <c:v>0.57122558187391859</c:v>
                </c:pt>
                <c:pt idx="23">
                  <c:v>0.601750881690996</c:v>
                </c:pt>
                <c:pt idx="24">
                  <c:v>0.63687528242140767</c:v>
                </c:pt>
                <c:pt idx="25">
                  <c:v>0.67588937048379116</c:v>
                </c:pt>
              </c:numCache>
            </c:numRef>
          </c:xVal>
          <c:yVal>
            <c:numRef>
              <c:f>Sheet4!$H$27:$H$52</c:f>
              <c:numCache>
                <c:formatCode>0.00%</c:formatCode>
                <c:ptCount val="26"/>
                <c:pt idx="0">
                  <c:v>0.12</c:v>
                </c:pt>
                <c:pt idx="1">
                  <c:v>0.12520000000000001</c:v>
                </c:pt>
                <c:pt idx="2">
                  <c:v>0.13040000000000002</c:v>
                </c:pt>
                <c:pt idx="3">
                  <c:v>0.13560000000000003</c:v>
                </c:pt>
                <c:pt idx="4">
                  <c:v>0.14080000000000004</c:v>
                </c:pt>
                <c:pt idx="5">
                  <c:v>0.14600000000000005</c:v>
                </c:pt>
                <c:pt idx="6">
                  <c:v>0.15120000000000006</c:v>
                </c:pt>
                <c:pt idx="7">
                  <c:v>0.15640000000000007</c:v>
                </c:pt>
                <c:pt idx="8">
                  <c:v>0.16160000000000008</c:v>
                </c:pt>
                <c:pt idx="9">
                  <c:v>0.16680000000000009</c:v>
                </c:pt>
                <c:pt idx="10">
                  <c:v>0.1720000000000001</c:v>
                </c:pt>
                <c:pt idx="11">
                  <c:v>0.17720000000000011</c:v>
                </c:pt>
                <c:pt idx="12">
                  <c:v>0.18240000000000012</c:v>
                </c:pt>
                <c:pt idx="13">
                  <c:v>0.18760000000000013</c:v>
                </c:pt>
                <c:pt idx="14">
                  <c:v>0.19280000000000014</c:v>
                </c:pt>
                <c:pt idx="15">
                  <c:v>0.19800000000000015</c:v>
                </c:pt>
                <c:pt idx="16">
                  <c:v>0.20320000000000016</c:v>
                </c:pt>
                <c:pt idx="17">
                  <c:v>0.20840000000000017</c:v>
                </c:pt>
                <c:pt idx="18">
                  <c:v>0.21360000000000018</c:v>
                </c:pt>
                <c:pt idx="19">
                  <c:v>0.21880000000000019</c:v>
                </c:pt>
                <c:pt idx="20">
                  <c:v>0.2240000000000002</c:v>
                </c:pt>
                <c:pt idx="21">
                  <c:v>0.22920000000000021</c:v>
                </c:pt>
                <c:pt idx="22">
                  <c:v>0.23440000000000022</c:v>
                </c:pt>
                <c:pt idx="23">
                  <c:v>0.23960000000000023</c:v>
                </c:pt>
                <c:pt idx="24">
                  <c:v>0.24480000000000024</c:v>
                </c:pt>
                <c:pt idx="25">
                  <c:v>0.25000000000000022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92-4B4F-BB6D-88C48538FE9E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Sheet4!$B$4:$F$4</c:f>
              <c:numCache>
                <c:formatCode>0.00%</c:formatCode>
                <c:ptCount val="5"/>
                <c:pt idx="0">
                  <c:v>0.68201674476823382</c:v>
                </c:pt>
                <c:pt idx="1">
                  <c:v>0.72706759541598098</c:v>
                </c:pt>
                <c:pt idx="2">
                  <c:v>1.1893405588011026</c:v>
                </c:pt>
                <c:pt idx="3">
                  <c:v>0.5487850777994232</c:v>
                </c:pt>
                <c:pt idx="4">
                  <c:v>1.132448355308022</c:v>
                </c:pt>
              </c:numCache>
            </c:numRef>
          </c:xVal>
          <c:yVal>
            <c:numRef>
              <c:f>Sheet4!$B$3:$F$3</c:f>
              <c:numCache>
                <c:formatCode>0.00%</c:formatCode>
                <c:ptCount val="5"/>
                <c:pt idx="0">
                  <c:v>0.20446343472257486</c:v>
                </c:pt>
                <c:pt idx="1">
                  <c:v>0.23334839587811365</c:v>
                </c:pt>
                <c:pt idx="2">
                  <c:v>0.16684767731577851</c:v>
                </c:pt>
                <c:pt idx="3">
                  <c:v>0.19746111940972205</c:v>
                </c:pt>
                <c:pt idx="4">
                  <c:v>0.14628966308227639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92-4B4F-BB6D-88C48538FE9E}"/>
            </c:ext>
          </c:extLst>
        </c:ser>
        <c:ser>
          <c:idx val="2"/>
          <c:order val="2"/>
          <c:tx>
            <c:v>GMVP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Sheet5!$H$29</c:f>
              <c:numCache>
                <c:formatCode>0.00%</c:formatCode>
                <c:ptCount val="1"/>
                <c:pt idx="0">
                  <c:v>0.50996928034969369</c:v>
                </c:pt>
              </c:numCache>
            </c:numRef>
          </c:xVal>
          <c:yVal>
            <c:numRef>
              <c:f>Sheet5!$I$29</c:f>
              <c:numCache>
                <c:formatCode>0.00%</c:formatCode>
                <c:ptCount val="1"/>
                <c:pt idx="0">
                  <c:v>0.21284195524730637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92-4B4F-BB6D-88C48538FE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6333344"/>
        <c:axId val="844541328"/>
      </c:scatterChart>
      <c:valAx>
        <c:axId val="856333344"/>
        <c:scaling>
          <c:orientation val="minMax"/>
          <c:max val="1.4"/>
          <c:min val="0.30000000000000004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Standard Deviation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4541328"/>
        <c:crosses val="autoZero"/>
        <c:crossBetween val="midCat"/>
      </c:valAx>
      <c:valAx>
        <c:axId val="844541328"/>
        <c:scaling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Expected 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6333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Global</a:t>
            </a:r>
            <a:r>
              <a:rPr lang="en-US" baseline="0"/>
              <a:t> Minimum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Sheet5!$H$29</c:f>
              <c:numCache>
                <c:formatCode>0.00%</c:formatCode>
                <c:ptCount val="1"/>
                <c:pt idx="0">
                  <c:v>0.50996928034969369</c:v>
                </c:pt>
              </c:numCache>
            </c:numRef>
          </c:xVal>
          <c:yVal>
            <c:numRef>
              <c:f>Sheet5!$I$29</c:f>
              <c:numCache>
                <c:formatCode>0.00%</c:formatCode>
                <c:ptCount val="1"/>
                <c:pt idx="0">
                  <c:v>0.21284195524730637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4CB-144B-BB97-78EFF09279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6333344"/>
        <c:axId val="844541328"/>
      </c:scatterChart>
      <c:valAx>
        <c:axId val="856333344"/>
        <c:scaling>
          <c:orientation val="minMax"/>
          <c:max val="1.4"/>
          <c:min val="0.30000000000000004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Standard Deviation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4541328"/>
        <c:crosses val="autoZero"/>
        <c:crossBetween val="midCat"/>
      </c:valAx>
      <c:valAx>
        <c:axId val="844541328"/>
        <c:scaling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Expected 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6333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Mean-Variance Frontier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Sheet4!$G$27:$G$52</c:f>
              <c:numCache>
                <c:formatCode>0.00%</c:formatCode>
                <c:ptCount val="26"/>
                <c:pt idx="0">
                  <c:v>1.2199975510772945</c:v>
                </c:pt>
                <c:pt idx="1">
                  <c:v>1.163895324860325</c:v>
                </c:pt>
                <c:pt idx="2">
                  <c:v>1.1084300551894621</c:v>
                </c:pt>
                <c:pt idx="3">
                  <c:v>1.0537167548544784</c:v>
                </c:pt>
                <c:pt idx="4">
                  <c:v>0.99983194244662343</c:v>
                </c:pt>
                <c:pt idx="5">
                  <c:v>0.94696812152481213</c:v>
                </c:pt>
                <c:pt idx="6">
                  <c:v>0.89528762738647083</c:v>
                </c:pt>
                <c:pt idx="7">
                  <c:v>0.84502802981830583</c:v>
                </c:pt>
                <c:pt idx="8">
                  <c:v>0.79639478851121281</c:v>
                </c:pt>
                <c:pt idx="9">
                  <c:v>0.74977037280710135</c:v>
                </c:pt>
                <c:pt idx="10">
                  <c:v>0.70553042128553589</c:v>
                </c:pt>
                <c:pt idx="11">
                  <c:v>0.66415155259185688</c:v>
                </c:pt>
                <c:pt idx="12">
                  <c:v>0.6262291275081443</c:v>
                </c:pt>
                <c:pt idx="13">
                  <c:v>0.59233884242340773</c:v>
                </c:pt>
                <c:pt idx="14">
                  <c:v>0.56330203598811024</c:v>
                </c:pt>
                <c:pt idx="15">
                  <c:v>0.53987002317202626</c:v>
                </c:pt>
                <c:pt idx="16">
                  <c:v>0.52279698631231708</c:v>
                </c:pt>
                <c:pt idx="17">
                  <c:v>0.5127183156286208</c:v>
                </c:pt>
                <c:pt idx="18">
                  <c:v>0.51004955071546976</c:v>
                </c:pt>
                <c:pt idx="19">
                  <c:v>0.51490518219221848</c:v>
                </c:pt>
                <c:pt idx="20">
                  <c:v>0.52707754179425037</c:v>
                </c:pt>
                <c:pt idx="21">
                  <c:v>0.54607905226097697</c:v>
                </c:pt>
                <c:pt idx="22">
                  <c:v>0.57122558187391859</c:v>
                </c:pt>
                <c:pt idx="23">
                  <c:v>0.601750881690996</c:v>
                </c:pt>
                <c:pt idx="24">
                  <c:v>0.63687528242140767</c:v>
                </c:pt>
                <c:pt idx="25">
                  <c:v>0.67588937048379116</c:v>
                </c:pt>
              </c:numCache>
            </c:numRef>
          </c:xVal>
          <c:yVal>
            <c:numRef>
              <c:f>Sheet4!$H$27:$H$52</c:f>
              <c:numCache>
                <c:formatCode>0.00%</c:formatCode>
                <c:ptCount val="26"/>
                <c:pt idx="0">
                  <c:v>0.12</c:v>
                </c:pt>
                <c:pt idx="1">
                  <c:v>0.12520000000000001</c:v>
                </c:pt>
                <c:pt idx="2">
                  <c:v>0.13040000000000002</c:v>
                </c:pt>
                <c:pt idx="3">
                  <c:v>0.13560000000000003</c:v>
                </c:pt>
                <c:pt idx="4">
                  <c:v>0.14080000000000004</c:v>
                </c:pt>
                <c:pt idx="5">
                  <c:v>0.14600000000000005</c:v>
                </c:pt>
                <c:pt idx="6">
                  <c:v>0.15120000000000006</c:v>
                </c:pt>
                <c:pt idx="7">
                  <c:v>0.15640000000000007</c:v>
                </c:pt>
                <c:pt idx="8">
                  <c:v>0.16160000000000008</c:v>
                </c:pt>
                <c:pt idx="9">
                  <c:v>0.16680000000000009</c:v>
                </c:pt>
                <c:pt idx="10">
                  <c:v>0.1720000000000001</c:v>
                </c:pt>
                <c:pt idx="11">
                  <c:v>0.17720000000000011</c:v>
                </c:pt>
                <c:pt idx="12">
                  <c:v>0.18240000000000012</c:v>
                </c:pt>
                <c:pt idx="13">
                  <c:v>0.18760000000000013</c:v>
                </c:pt>
                <c:pt idx="14">
                  <c:v>0.19280000000000014</c:v>
                </c:pt>
                <c:pt idx="15">
                  <c:v>0.19800000000000015</c:v>
                </c:pt>
                <c:pt idx="16">
                  <c:v>0.20320000000000016</c:v>
                </c:pt>
                <c:pt idx="17">
                  <c:v>0.20840000000000017</c:v>
                </c:pt>
                <c:pt idx="18">
                  <c:v>0.21360000000000018</c:v>
                </c:pt>
                <c:pt idx="19">
                  <c:v>0.21880000000000019</c:v>
                </c:pt>
                <c:pt idx="20">
                  <c:v>0.2240000000000002</c:v>
                </c:pt>
                <c:pt idx="21">
                  <c:v>0.22920000000000021</c:v>
                </c:pt>
                <c:pt idx="22">
                  <c:v>0.23440000000000022</c:v>
                </c:pt>
                <c:pt idx="23">
                  <c:v>0.23960000000000023</c:v>
                </c:pt>
                <c:pt idx="24">
                  <c:v>0.24480000000000024</c:v>
                </c:pt>
                <c:pt idx="25">
                  <c:v>0.25000000000000022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56-7C4C-8648-D1F68821568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Sheet4!$B$4:$F$4</c:f>
              <c:numCache>
                <c:formatCode>0.00%</c:formatCode>
                <c:ptCount val="5"/>
                <c:pt idx="0">
                  <c:v>0.68201674476823382</c:v>
                </c:pt>
                <c:pt idx="1">
                  <c:v>0.72706759541598098</c:v>
                </c:pt>
                <c:pt idx="2">
                  <c:v>1.1893405588011026</c:v>
                </c:pt>
                <c:pt idx="3">
                  <c:v>0.5487850777994232</c:v>
                </c:pt>
                <c:pt idx="4">
                  <c:v>1.132448355308022</c:v>
                </c:pt>
              </c:numCache>
            </c:numRef>
          </c:xVal>
          <c:yVal>
            <c:numRef>
              <c:f>Sheet4!$B$3:$F$3</c:f>
              <c:numCache>
                <c:formatCode>0.00%</c:formatCode>
                <c:ptCount val="5"/>
                <c:pt idx="0">
                  <c:v>0.20446343472257486</c:v>
                </c:pt>
                <c:pt idx="1">
                  <c:v>0.23334839587811365</c:v>
                </c:pt>
                <c:pt idx="2">
                  <c:v>0.16684767731577851</c:v>
                </c:pt>
                <c:pt idx="3">
                  <c:v>0.19746111940972205</c:v>
                </c:pt>
                <c:pt idx="4">
                  <c:v>0.14628966308227639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56-7C4C-8648-D1F68821568D}"/>
            </c:ext>
          </c:extLst>
        </c:ser>
        <c:ser>
          <c:idx val="2"/>
          <c:order val="2"/>
          <c:tx>
            <c:v>GMVP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Sheet5!$H$29</c:f>
              <c:numCache>
                <c:formatCode>0.00%</c:formatCode>
                <c:ptCount val="1"/>
                <c:pt idx="0">
                  <c:v>0.50996928034969369</c:v>
                </c:pt>
              </c:numCache>
            </c:numRef>
          </c:xVal>
          <c:yVal>
            <c:numRef>
              <c:f>Sheet5!$I$29</c:f>
              <c:numCache>
                <c:formatCode>0.00%</c:formatCode>
                <c:ptCount val="1"/>
                <c:pt idx="0">
                  <c:v>0.21284195524730637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56-7C4C-8648-D1F68821568D}"/>
            </c:ext>
          </c:extLst>
        </c:ser>
        <c:ser>
          <c:idx val="3"/>
          <c:order val="3"/>
          <c:tx>
            <c:v>Approx Max Sharpe</c:v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Sheet5!$B$60</c:f>
              <c:numCache>
                <c:formatCode>0.00%</c:formatCode>
                <c:ptCount val="1"/>
                <c:pt idx="0">
                  <c:v>0.67588937048379116</c:v>
                </c:pt>
              </c:numCache>
            </c:numRef>
          </c:xVal>
          <c:yVal>
            <c:numRef>
              <c:f>Sheet5!$C$60</c:f>
              <c:numCache>
                <c:formatCode>0.00%</c:formatCode>
                <c:ptCount val="1"/>
                <c:pt idx="0">
                  <c:v>0.25000000000000022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856-7C4C-8648-D1F6882156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6333344"/>
        <c:axId val="844541328"/>
      </c:scatterChart>
      <c:valAx>
        <c:axId val="856333344"/>
        <c:scaling>
          <c:orientation val="minMax"/>
          <c:max val="1.4"/>
          <c:min val="0.30000000000000004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Standard Deviation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4541328"/>
        <c:crosses val="autoZero"/>
        <c:crossBetween val="midCat"/>
      </c:valAx>
      <c:valAx>
        <c:axId val="844541328"/>
        <c:scaling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Expected 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6333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Mean-Variance Frontier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Mean Variance Frontier</c:v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Sheet8!$G$30:$G$42</c:f>
              <c:numCache>
                <c:formatCode>0.00%</c:formatCode>
                <c:ptCount val="13"/>
                <c:pt idx="0">
                  <c:v>0.59233884242340773</c:v>
                </c:pt>
                <c:pt idx="1">
                  <c:v>0.56330203598811024</c:v>
                </c:pt>
                <c:pt idx="2">
                  <c:v>0.53987002317202626</c:v>
                </c:pt>
                <c:pt idx="3">
                  <c:v>0.52279698631231708</c:v>
                </c:pt>
                <c:pt idx="4">
                  <c:v>0.5127183156286208</c:v>
                </c:pt>
                <c:pt idx="5">
                  <c:v>0.51004955071546976</c:v>
                </c:pt>
                <c:pt idx="6">
                  <c:v>0.51490518219221848</c:v>
                </c:pt>
                <c:pt idx="7">
                  <c:v>0.52707754179425037</c:v>
                </c:pt>
                <c:pt idx="8">
                  <c:v>0.54607905226097697</c:v>
                </c:pt>
                <c:pt idx="9">
                  <c:v>0.57122558187391859</c:v>
                </c:pt>
                <c:pt idx="10">
                  <c:v>0.601750881690996</c:v>
                </c:pt>
                <c:pt idx="11">
                  <c:v>0.63687528242140767</c:v>
                </c:pt>
                <c:pt idx="12">
                  <c:v>0.67588937048379116</c:v>
                </c:pt>
              </c:numCache>
            </c:numRef>
          </c:xVal>
          <c:yVal>
            <c:numRef>
              <c:f>Sheet8!$H$30:$H$42</c:f>
              <c:numCache>
                <c:formatCode>0.00%</c:formatCode>
                <c:ptCount val="13"/>
                <c:pt idx="0">
                  <c:v>0.18760000000000013</c:v>
                </c:pt>
                <c:pt idx="1">
                  <c:v>0.19280000000000014</c:v>
                </c:pt>
                <c:pt idx="2">
                  <c:v>0.19800000000000015</c:v>
                </c:pt>
                <c:pt idx="3">
                  <c:v>0.20320000000000016</c:v>
                </c:pt>
                <c:pt idx="4">
                  <c:v>0.20840000000000017</c:v>
                </c:pt>
                <c:pt idx="5">
                  <c:v>0.21360000000000018</c:v>
                </c:pt>
                <c:pt idx="6">
                  <c:v>0.21880000000000019</c:v>
                </c:pt>
                <c:pt idx="7">
                  <c:v>0.2240000000000002</c:v>
                </c:pt>
                <c:pt idx="8">
                  <c:v>0.22920000000000021</c:v>
                </c:pt>
                <c:pt idx="9">
                  <c:v>0.23440000000000022</c:v>
                </c:pt>
                <c:pt idx="10">
                  <c:v>0.23960000000000023</c:v>
                </c:pt>
                <c:pt idx="11">
                  <c:v>0.24480000000000024</c:v>
                </c:pt>
                <c:pt idx="12">
                  <c:v>0.25000000000000022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66-A84B-83E5-4310A045A85C}"/>
            </c:ext>
          </c:extLst>
        </c:ser>
        <c:ser>
          <c:idx val="1"/>
          <c:order val="1"/>
          <c:tx>
            <c:v>CML</c:v>
          </c:tx>
          <c:spPr>
            <a:ln w="9525" cap="rnd">
              <a:solidFill>
                <a:schemeClr val="tx1">
                  <a:lumMod val="65000"/>
                  <a:lumOff val="35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066-A84B-83E5-4310A045A85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066-A84B-83E5-4310A045A85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066-A84B-83E5-4310A045A85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066-A84B-83E5-4310A045A85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066-A84B-83E5-4310A045A85C}"/>
                </c:ext>
              </c:extLst>
            </c:dLbl>
            <c:dLbl>
              <c:idx val="5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066-A84B-83E5-4310A045A85C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066-A84B-83E5-4310A045A85C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066-A84B-83E5-4310A045A85C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066-A84B-83E5-4310A045A85C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066-A84B-83E5-4310A045A85C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066-A84B-83E5-4310A045A85C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066-A84B-83E5-4310A045A85C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066-A84B-83E5-4310A045A85C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066-A84B-83E5-4310A045A85C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066-A84B-83E5-4310A045A85C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066-A84B-83E5-4310A045A8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Sheet8!$K$28:$K$48</c:f>
              <c:numCache>
                <c:formatCode>0%</c:formatCode>
                <c:ptCount val="21"/>
                <c:pt idx="0">
                  <c:v>0</c:v>
                </c:pt>
                <c:pt idx="1">
                  <c:v>5.2233235113344455E-2</c:v>
                </c:pt>
                <c:pt idx="2">
                  <c:v>0.10446647022668891</c:v>
                </c:pt>
                <c:pt idx="3">
                  <c:v>0.15669970534003341</c:v>
                </c:pt>
                <c:pt idx="4">
                  <c:v>0.20893294045337787</c:v>
                </c:pt>
                <c:pt idx="5">
                  <c:v>0.26116617556672234</c:v>
                </c:pt>
                <c:pt idx="6">
                  <c:v>0.31339941068006677</c:v>
                </c:pt>
                <c:pt idx="7">
                  <c:v>0.36563264579341126</c:v>
                </c:pt>
                <c:pt idx="8">
                  <c:v>0.41786588090675575</c:v>
                </c:pt>
                <c:pt idx="9">
                  <c:v>0.47009911602010024</c:v>
                </c:pt>
                <c:pt idx="10">
                  <c:v>0.52233235113344467</c:v>
                </c:pt>
                <c:pt idx="11">
                  <c:v>0.57456558624678922</c:v>
                </c:pt>
                <c:pt idx="12">
                  <c:v>0.62679882136013354</c:v>
                </c:pt>
                <c:pt idx="13">
                  <c:v>0.67903205647347809</c:v>
                </c:pt>
                <c:pt idx="14">
                  <c:v>0.73126529158682252</c:v>
                </c:pt>
                <c:pt idx="15">
                  <c:v>0.78349852670016706</c:v>
                </c:pt>
                <c:pt idx="16">
                  <c:v>0.8357317618135115</c:v>
                </c:pt>
                <c:pt idx="17">
                  <c:v>0.88796499692685593</c:v>
                </c:pt>
                <c:pt idx="18">
                  <c:v>0.94019823204020048</c:v>
                </c:pt>
                <c:pt idx="19">
                  <c:v>0.9924314671535448</c:v>
                </c:pt>
                <c:pt idx="20">
                  <c:v>1.0446647022668893</c:v>
                </c:pt>
              </c:numCache>
            </c:numRef>
          </c:xVal>
          <c:yVal>
            <c:numRef>
              <c:f>Sheet8!$L$28:$L$48</c:f>
              <c:numCache>
                <c:formatCode>0%</c:formatCode>
                <c:ptCount val="21"/>
                <c:pt idx="0">
                  <c:v>0.02</c:v>
                </c:pt>
                <c:pt idx="1">
                  <c:v>4.0230546471666677E-2</c:v>
                </c:pt>
                <c:pt idx="2">
                  <c:v>6.046109294333335E-2</c:v>
                </c:pt>
                <c:pt idx="3">
                  <c:v>8.0691639415000044E-2</c:v>
                </c:pt>
                <c:pt idx="4">
                  <c:v>0.10092218588666672</c:v>
                </c:pt>
                <c:pt idx="5">
                  <c:v>0.12115273235833339</c:v>
                </c:pt>
                <c:pt idx="6">
                  <c:v>0.14138327883000007</c:v>
                </c:pt>
                <c:pt idx="7">
                  <c:v>0.16161382530166674</c:v>
                </c:pt>
                <c:pt idx="8">
                  <c:v>0.18184437177333346</c:v>
                </c:pt>
                <c:pt idx="9">
                  <c:v>0.20207491824500012</c:v>
                </c:pt>
                <c:pt idx="10">
                  <c:v>0.22230546471666679</c:v>
                </c:pt>
                <c:pt idx="11">
                  <c:v>0.24253601118833348</c:v>
                </c:pt>
                <c:pt idx="12">
                  <c:v>0.26276655766000012</c:v>
                </c:pt>
                <c:pt idx="13">
                  <c:v>0.28299710413166684</c:v>
                </c:pt>
                <c:pt idx="14">
                  <c:v>0.30322765060333345</c:v>
                </c:pt>
                <c:pt idx="15">
                  <c:v>0.32345819707500018</c:v>
                </c:pt>
                <c:pt idx="16">
                  <c:v>0.3436887435466669</c:v>
                </c:pt>
                <c:pt idx="17">
                  <c:v>0.36391929001833351</c:v>
                </c:pt>
                <c:pt idx="18">
                  <c:v>0.38414983649000023</c:v>
                </c:pt>
                <c:pt idx="19">
                  <c:v>0.40438038296166684</c:v>
                </c:pt>
                <c:pt idx="20">
                  <c:v>0.42461092943333356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066-A84B-83E5-4310A045A85C}"/>
            </c:ext>
          </c:extLst>
        </c:ser>
        <c:ser>
          <c:idx val="2"/>
          <c:order val="2"/>
          <c:tx>
            <c:v>Risk-Free Rate</c:v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Sheet8!$K$28</c:f>
              <c:numCache>
                <c:formatCode>0%</c:formatCode>
                <c:ptCount val="1"/>
                <c:pt idx="0">
                  <c:v>0</c:v>
                </c:pt>
              </c:numCache>
            </c:numRef>
          </c:xVal>
          <c:yVal>
            <c:numRef>
              <c:f>Sheet8!$L$28</c:f>
              <c:numCache>
                <c:formatCode>0%</c:formatCode>
                <c:ptCount val="1"/>
                <c:pt idx="0">
                  <c:v>0.02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066-A84B-83E5-4310A045A85C}"/>
            </c:ext>
          </c:extLst>
        </c:ser>
        <c:ser>
          <c:idx val="3"/>
          <c:order val="3"/>
          <c:tx>
            <c:v>Tangent Portfolio</c:v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Sheet8!$K$38</c:f>
              <c:numCache>
                <c:formatCode>0%</c:formatCode>
                <c:ptCount val="1"/>
                <c:pt idx="0">
                  <c:v>0.52233235113344467</c:v>
                </c:pt>
              </c:numCache>
            </c:numRef>
          </c:xVal>
          <c:yVal>
            <c:numRef>
              <c:f>Sheet8!$L$38</c:f>
              <c:numCache>
                <c:formatCode>0%</c:formatCode>
                <c:ptCount val="1"/>
                <c:pt idx="0">
                  <c:v>0.22230546471666679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066-A84B-83E5-4310A045A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0954608"/>
        <c:axId val="325229872"/>
      </c:scatterChart>
      <c:valAx>
        <c:axId val="920954608"/>
        <c:scaling>
          <c:orientation val="minMax"/>
          <c:max val="0.8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Standard Deviation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229872"/>
        <c:crosses val="autoZero"/>
        <c:crossBetween val="midCat"/>
      </c:valAx>
      <c:valAx>
        <c:axId val="325229872"/>
        <c:scaling>
          <c:orientation val="minMax"/>
          <c:max val="0.35000000000000003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Expected 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0954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Mean-Variance Frontier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Sheet9!$G$27:$G$52</c:f>
              <c:numCache>
                <c:formatCode>0.00%</c:formatCode>
                <c:ptCount val="26"/>
                <c:pt idx="0">
                  <c:v>1.2199975510772945</c:v>
                </c:pt>
                <c:pt idx="1">
                  <c:v>1.163895324860325</c:v>
                </c:pt>
                <c:pt idx="2">
                  <c:v>1.1084300551894621</c:v>
                </c:pt>
                <c:pt idx="3">
                  <c:v>1.0537167548544784</c:v>
                </c:pt>
                <c:pt idx="4">
                  <c:v>0.99983194244662343</c:v>
                </c:pt>
                <c:pt idx="5">
                  <c:v>0.94696812152481213</c:v>
                </c:pt>
                <c:pt idx="6">
                  <c:v>0.89528762738647083</c:v>
                </c:pt>
                <c:pt idx="7">
                  <c:v>0.84502802981830583</c:v>
                </c:pt>
                <c:pt idx="8">
                  <c:v>0.79639478851121281</c:v>
                </c:pt>
                <c:pt idx="9">
                  <c:v>0.74977037280710135</c:v>
                </c:pt>
                <c:pt idx="10">
                  <c:v>0.70553042128553589</c:v>
                </c:pt>
                <c:pt idx="11">
                  <c:v>0.66415155259185688</c:v>
                </c:pt>
                <c:pt idx="12">
                  <c:v>0.6262291275081443</c:v>
                </c:pt>
                <c:pt idx="13">
                  <c:v>0.59233884242340773</c:v>
                </c:pt>
                <c:pt idx="14">
                  <c:v>0.56330203598811024</c:v>
                </c:pt>
                <c:pt idx="15">
                  <c:v>0.53987002317202626</c:v>
                </c:pt>
                <c:pt idx="16">
                  <c:v>0.52279698631231708</c:v>
                </c:pt>
                <c:pt idx="17">
                  <c:v>0.5127183156286208</c:v>
                </c:pt>
                <c:pt idx="18">
                  <c:v>0.51004955071546976</c:v>
                </c:pt>
                <c:pt idx="19">
                  <c:v>0.51490518219221848</c:v>
                </c:pt>
                <c:pt idx="20">
                  <c:v>0.52707754179425037</c:v>
                </c:pt>
                <c:pt idx="21">
                  <c:v>0.54607905226097697</c:v>
                </c:pt>
                <c:pt idx="22">
                  <c:v>0.57122558187391859</c:v>
                </c:pt>
                <c:pt idx="23">
                  <c:v>0.601750881690996</c:v>
                </c:pt>
                <c:pt idx="24">
                  <c:v>0.63687528242140767</c:v>
                </c:pt>
                <c:pt idx="25">
                  <c:v>0.67588937048379116</c:v>
                </c:pt>
              </c:numCache>
            </c:numRef>
          </c:xVal>
          <c:yVal>
            <c:numRef>
              <c:f>Sheet9!$H$27:$H$52</c:f>
              <c:numCache>
                <c:formatCode>0.00%</c:formatCode>
                <c:ptCount val="26"/>
                <c:pt idx="0">
                  <c:v>0.12</c:v>
                </c:pt>
                <c:pt idx="1">
                  <c:v>0.12520000000000001</c:v>
                </c:pt>
                <c:pt idx="2">
                  <c:v>0.13040000000000002</c:v>
                </c:pt>
                <c:pt idx="3">
                  <c:v>0.13560000000000003</c:v>
                </c:pt>
                <c:pt idx="4">
                  <c:v>0.14080000000000004</c:v>
                </c:pt>
                <c:pt idx="5">
                  <c:v>0.14600000000000005</c:v>
                </c:pt>
                <c:pt idx="6">
                  <c:v>0.15120000000000006</c:v>
                </c:pt>
                <c:pt idx="7">
                  <c:v>0.15640000000000007</c:v>
                </c:pt>
                <c:pt idx="8">
                  <c:v>0.16160000000000008</c:v>
                </c:pt>
                <c:pt idx="9">
                  <c:v>0.16680000000000009</c:v>
                </c:pt>
                <c:pt idx="10">
                  <c:v>0.1720000000000001</c:v>
                </c:pt>
                <c:pt idx="11">
                  <c:v>0.17720000000000011</c:v>
                </c:pt>
                <c:pt idx="12">
                  <c:v>0.18240000000000012</c:v>
                </c:pt>
                <c:pt idx="13">
                  <c:v>0.18760000000000013</c:v>
                </c:pt>
                <c:pt idx="14">
                  <c:v>0.19280000000000014</c:v>
                </c:pt>
                <c:pt idx="15">
                  <c:v>0.19800000000000015</c:v>
                </c:pt>
                <c:pt idx="16">
                  <c:v>0.20320000000000016</c:v>
                </c:pt>
                <c:pt idx="17">
                  <c:v>0.20840000000000017</c:v>
                </c:pt>
                <c:pt idx="18">
                  <c:v>0.21360000000000018</c:v>
                </c:pt>
                <c:pt idx="19">
                  <c:v>0.21880000000000019</c:v>
                </c:pt>
                <c:pt idx="20">
                  <c:v>0.2240000000000002</c:v>
                </c:pt>
                <c:pt idx="21">
                  <c:v>0.22920000000000021</c:v>
                </c:pt>
                <c:pt idx="22">
                  <c:v>0.23440000000000022</c:v>
                </c:pt>
                <c:pt idx="23">
                  <c:v>0.23960000000000023</c:v>
                </c:pt>
                <c:pt idx="24">
                  <c:v>0.24480000000000024</c:v>
                </c:pt>
                <c:pt idx="25">
                  <c:v>0.25000000000000022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49-DE46-95DC-136A40CF97C0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Sheet9!$B$4:$F$4</c:f>
              <c:numCache>
                <c:formatCode>0.00%</c:formatCode>
                <c:ptCount val="5"/>
                <c:pt idx="0">
                  <c:v>0.68201674476823382</c:v>
                </c:pt>
                <c:pt idx="1">
                  <c:v>0.72706759541598098</c:v>
                </c:pt>
                <c:pt idx="2">
                  <c:v>1.1893405588011026</c:v>
                </c:pt>
                <c:pt idx="3">
                  <c:v>0.5487850777994232</c:v>
                </c:pt>
                <c:pt idx="4">
                  <c:v>1.132448355308022</c:v>
                </c:pt>
              </c:numCache>
            </c:numRef>
          </c:xVal>
          <c:yVal>
            <c:numRef>
              <c:f>Sheet9!$B$3:$F$3</c:f>
              <c:numCache>
                <c:formatCode>0.00%</c:formatCode>
                <c:ptCount val="5"/>
                <c:pt idx="0">
                  <c:v>0.20446343472257486</c:v>
                </c:pt>
                <c:pt idx="1">
                  <c:v>0.23334839587811365</c:v>
                </c:pt>
                <c:pt idx="2">
                  <c:v>0.16684767731577851</c:v>
                </c:pt>
                <c:pt idx="3">
                  <c:v>0.19746111940972205</c:v>
                </c:pt>
                <c:pt idx="4">
                  <c:v>0.14628966308227639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C49-DE46-95DC-136A40CF97C0}"/>
            </c:ext>
          </c:extLst>
        </c:ser>
        <c:ser>
          <c:idx val="2"/>
          <c:order val="2"/>
          <c:tx>
            <c:v>GMVP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Sheet5!$H$29</c:f>
              <c:numCache>
                <c:formatCode>0.00%</c:formatCode>
                <c:ptCount val="1"/>
                <c:pt idx="0">
                  <c:v>0.50996928034969369</c:v>
                </c:pt>
              </c:numCache>
            </c:numRef>
          </c:xVal>
          <c:yVal>
            <c:numRef>
              <c:f>Sheet5!$I$29</c:f>
              <c:numCache>
                <c:formatCode>0.00%</c:formatCode>
                <c:ptCount val="1"/>
                <c:pt idx="0">
                  <c:v>0.21284195524730637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C49-DE46-95DC-136A40CF9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6333344"/>
        <c:axId val="844541328"/>
      </c:scatterChart>
      <c:valAx>
        <c:axId val="856333344"/>
        <c:scaling>
          <c:orientation val="minMax"/>
          <c:max val="1.4"/>
          <c:min val="0.30000000000000004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Standard Deviation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4541328"/>
        <c:crosses val="autoZero"/>
        <c:crossBetween val="midCat"/>
      </c:valAx>
      <c:valAx>
        <c:axId val="844541328"/>
        <c:scaling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Expected 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6333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 Short-Selling Portfolio's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Sheet9!$W$27:$W$39</c:f>
              <c:numCache>
                <c:formatCode>0.00%</c:formatCode>
                <c:ptCount val="13"/>
                <c:pt idx="0">
                  <c:v>1.0289873581679383</c:v>
                </c:pt>
                <c:pt idx="1">
                  <c:v>0.94475118947076508</c:v>
                </c:pt>
                <c:pt idx="2">
                  <c:v>0.8788836240432002</c:v>
                </c:pt>
                <c:pt idx="3">
                  <c:v>0.81595406973023477</c:v>
                </c:pt>
                <c:pt idx="4">
                  <c:v>0.75669581488222759</c:v>
                </c:pt>
                <c:pt idx="5">
                  <c:v>0.70203915366862701</c:v>
                </c:pt>
                <c:pt idx="6">
                  <c:v>0.65314030015308366</c:v>
                </c:pt>
                <c:pt idx="7">
                  <c:v>0.61138240580018621</c:v>
                </c:pt>
                <c:pt idx="8">
                  <c:v>0.57829773946435592</c:v>
                </c:pt>
                <c:pt idx="9">
                  <c:v>0.56330204367964043</c:v>
                </c:pt>
                <c:pt idx="10">
                  <c:v>0.53987002317202626</c:v>
                </c:pt>
                <c:pt idx="11">
                  <c:v>0.51900936672372699</c:v>
                </c:pt>
                <c:pt idx="12">
                  <c:v>0.68171664695133105</c:v>
                </c:pt>
              </c:numCache>
            </c:numRef>
          </c:xVal>
          <c:yVal>
            <c:numRef>
              <c:f>Sheet9!$X$27:$X$39</c:f>
              <c:numCache>
                <c:formatCode>0.00%</c:formatCode>
                <c:ptCount val="13"/>
                <c:pt idx="0">
                  <c:v>0.15000000046479123</c:v>
                </c:pt>
                <c:pt idx="1">
                  <c:v>0.15499999773049522</c:v>
                </c:pt>
                <c:pt idx="2">
                  <c:v>0.16000000021103611</c:v>
                </c:pt>
                <c:pt idx="3">
                  <c:v>0.16500000027950368</c:v>
                </c:pt>
                <c:pt idx="4">
                  <c:v>0.17000000041935587</c:v>
                </c:pt>
                <c:pt idx="5">
                  <c:v>0.17499999994455417</c:v>
                </c:pt>
                <c:pt idx="6">
                  <c:v>0.17999999985333975</c:v>
                </c:pt>
                <c:pt idx="7">
                  <c:v>0.18499999764094607</c:v>
                </c:pt>
                <c:pt idx="8">
                  <c:v>0.19000000002195949</c:v>
                </c:pt>
                <c:pt idx="9">
                  <c:v>0.19280000000000014</c:v>
                </c:pt>
                <c:pt idx="10">
                  <c:v>0.19800000000000015</c:v>
                </c:pt>
                <c:pt idx="11">
                  <c:v>0.20679945164984459</c:v>
                </c:pt>
                <c:pt idx="12">
                  <c:v>0.22999999968897156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3E-A94E-8919-08005D570F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512160"/>
        <c:axId val="820291056"/>
      </c:scatterChart>
      <c:valAx>
        <c:axId val="568512160"/>
        <c:scaling>
          <c:orientation val="minMax"/>
          <c:min val="0.30000000000000004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Standard Deviation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291056"/>
        <c:crosses val="autoZero"/>
        <c:crossBetween val="midCat"/>
      </c:valAx>
      <c:valAx>
        <c:axId val="820291056"/>
        <c:scaling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Expected 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512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Combined Mean-Variance Frontier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With Short-Selling</c:v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Sheet9!$G$27:$G$52</c:f>
              <c:numCache>
                <c:formatCode>0.00%</c:formatCode>
                <c:ptCount val="26"/>
                <c:pt idx="0">
                  <c:v>1.2199975510772945</c:v>
                </c:pt>
                <c:pt idx="1">
                  <c:v>1.163895324860325</c:v>
                </c:pt>
                <c:pt idx="2">
                  <c:v>1.1084300551894621</c:v>
                </c:pt>
                <c:pt idx="3">
                  <c:v>1.0537167548544784</c:v>
                </c:pt>
                <c:pt idx="4">
                  <c:v>0.99983194244662343</c:v>
                </c:pt>
                <c:pt idx="5">
                  <c:v>0.94696812152481213</c:v>
                </c:pt>
                <c:pt idx="6">
                  <c:v>0.89528762738647083</c:v>
                </c:pt>
                <c:pt idx="7">
                  <c:v>0.84502802981830583</c:v>
                </c:pt>
                <c:pt idx="8">
                  <c:v>0.79639478851121281</c:v>
                </c:pt>
                <c:pt idx="9">
                  <c:v>0.74977037280710135</c:v>
                </c:pt>
                <c:pt idx="10">
                  <c:v>0.70553042128553589</c:v>
                </c:pt>
                <c:pt idx="11">
                  <c:v>0.66415155259185688</c:v>
                </c:pt>
                <c:pt idx="12">
                  <c:v>0.6262291275081443</c:v>
                </c:pt>
                <c:pt idx="13">
                  <c:v>0.59233884242340773</c:v>
                </c:pt>
                <c:pt idx="14">
                  <c:v>0.56330203598811024</c:v>
                </c:pt>
                <c:pt idx="15">
                  <c:v>0.53987002317202626</c:v>
                </c:pt>
                <c:pt idx="16">
                  <c:v>0.52279698631231708</c:v>
                </c:pt>
                <c:pt idx="17">
                  <c:v>0.5127183156286208</c:v>
                </c:pt>
                <c:pt idx="18">
                  <c:v>0.51004955071546976</c:v>
                </c:pt>
                <c:pt idx="19">
                  <c:v>0.51490518219221848</c:v>
                </c:pt>
                <c:pt idx="20">
                  <c:v>0.52707754179425037</c:v>
                </c:pt>
                <c:pt idx="21">
                  <c:v>0.54607905226097697</c:v>
                </c:pt>
                <c:pt idx="22">
                  <c:v>0.57122558187391859</c:v>
                </c:pt>
                <c:pt idx="23">
                  <c:v>0.601750881690996</c:v>
                </c:pt>
                <c:pt idx="24">
                  <c:v>0.63687528242140767</c:v>
                </c:pt>
                <c:pt idx="25">
                  <c:v>0.67588937048379116</c:v>
                </c:pt>
              </c:numCache>
            </c:numRef>
          </c:xVal>
          <c:yVal>
            <c:numRef>
              <c:f>Sheet9!$H$27:$H$52</c:f>
              <c:numCache>
                <c:formatCode>0.00%</c:formatCode>
                <c:ptCount val="26"/>
                <c:pt idx="0">
                  <c:v>0.12</c:v>
                </c:pt>
                <c:pt idx="1">
                  <c:v>0.12520000000000001</c:v>
                </c:pt>
                <c:pt idx="2">
                  <c:v>0.13040000000000002</c:v>
                </c:pt>
                <c:pt idx="3">
                  <c:v>0.13560000000000003</c:v>
                </c:pt>
                <c:pt idx="4">
                  <c:v>0.14080000000000004</c:v>
                </c:pt>
                <c:pt idx="5">
                  <c:v>0.14600000000000005</c:v>
                </c:pt>
                <c:pt idx="6">
                  <c:v>0.15120000000000006</c:v>
                </c:pt>
                <c:pt idx="7">
                  <c:v>0.15640000000000007</c:v>
                </c:pt>
                <c:pt idx="8">
                  <c:v>0.16160000000000008</c:v>
                </c:pt>
                <c:pt idx="9">
                  <c:v>0.16680000000000009</c:v>
                </c:pt>
                <c:pt idx="10">
                  <c:v>0.1720000000000001</c:v>
                </c:pt>
                <c:pt idx="11">
                  <c:v>0.17720000000000011</c:v>
                </c:pt>
                <c:pt idx="12">
                  <c:v>0.18240000000000012</c:v>
                </c:pt>
                <c:pt idx="13">
                  <c:v>0.18760000000000013</c:v>
                </c:pt>
                <c:pt idx="14">
                  <c:v>0.19280000000000014</c:v>
                </c:pt>
                <c:pt idx="15">
                  <c:v>0.19800000000000015</c:v>
                </c:pt>
                <c:pt idx="16">
                  <c:v>0.20320000000000016</c:v>
                </c:pt>
                <c:pt idx="17">
                  <c:v>0.20840000000000017</c:v>
                </c:pt>
                <c:pt idx="18">
                  <c:v>0.21360000000000018</c:v>
                </c:pt>
                <c:pt idx="19">
                  <c:v>0.21880000000000019</c:v>
                </c:pt>
                <c:pt idx="20">
                  <c:v>0.2240000000000002</c:v>
                </c:pt>
                <c:pt idx="21">
                  <c:v>0.22920000000000021</c:v>
                </c:pt>
                <c:pt idx="22">
                  <c:v>0.23440000000000022</c:v>
                </c:pt>
                <c:pt idx="23">
                  <c:v>0.23960000000000023</c:v>
                </c:pt>
                <c:pt idx="24">
                  <c:v>0.24480000000000024</c:v>
                </c:pt>
                <c:pt idx="25">
                  <c:v>0.25000000000000022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CF-274F-BD97-6D21CD0E552A}"/>
            </c:ext>
          </c:extLst>
        </c:ser>
        <c:ser>
          <c:idx val="1"/>
          <c:order val="1"/>
          <c:tx>
            <c:v>Individual Stocks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Sheet9!$B$4:$F$4</c:f>
              <c:numCache>
                <c:formatCode>0.00%</c:formatCode>
                <c:ptCount val="5"/>
                <c:pt idx="0">
                  <c:v>0.68201674476823382</c:v>
                </c:pt>
                <c:pt idx="1">
                  <c:v>0.72706759541598098</c:v>
                </c:pt>
                <c:pt idx="2">
                  <c:v>1.1893405588011026</c:v>
                </c:pt>
                <c:pt idx="3">
                  <c:v>0.5487850777994232</c:v>
                </c:pt>
                <c:pt idx="4">
                  <c:v>1.132448355308022</c:v>
                </c:pt>
              </c:numCache>
            </c:numRef>
          </c:xVal>
          <c:yVal>
            <c:numRef>
              <c:f>Sheet9!$B$3:$F$3</c:f>
              <c:numCache>
                <c:formatCode>0.00%</c:formatCode>
                <c:ptCount val="5"/>
                <c:pt idx="0">
                  <c:v>0.20446343472257486</c:v>
                </c:pt>
                <c:pt idx="1">
                  <c:v>0.23334839587811365</c:v>
                </c:pt>
                <c:pt idx="2">
                  <c:v>0.16684767731577851</c:v>
                </c:pt>
                <c:pt idx="3">
                  <c:v>0.19746111940972205</c:v>
                </c:pt>
                <c:pt idx="4">
                  <c:v>0.14628966308227639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CF-274F-BD97-6D21CD0E552A}"/>
            </c:ext>
          </c:extLst>
        </c:ser>
        <c:ser>
          <c:idx val="2"/>
          <c:order val="2"/>
          <c:tx>
            <c:v>GMVP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Sheet5!$H$29</c:f>
              <c:numCache>
                <c:formatCode>0.00%</c:formatCode>
                <c:ptCount val="1"/>
                <c:pt idx="0">
                  <c:v>0.50996928034969369</c:v>
                </c:pt>
              </c:numCache>
            </c:numRef>
          </c:xVal>
          <c:yVal>
            <c:numRef>
              <c:f>Sheet5!$I$29</c:f>
              <c:numCache>
                <c:formatCode>0.00%</c:formatCode>
                <c:ptCount val="1"/>
                <c:pt idx="0">
                  <c:v>0.21284195524730637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CF-274F-BD97-6D21CD0E552A}"/>
            </c:ext>
          </c:extLst>
        </c:ser>
        <c:ser>
          <c:idx val="3"/>
          <c:order val="3"/>
          <c:tx>
            <c:v>No Short-Selling</c:v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Sheet9!$W$27:$W$39</c:f>
              <c:numCache>
                <c:formatCode>0.00%</c:formatCode>
                <c:ptCount val="13"/>
                <c:pt idx="0">
                  <c:v>1.0289873581679383</c:v>
                </c:pt>
                <c:pt idx="1">
                  <c:v>0.94475118947076508</c:v>
                </c:pt>
                <c:pt idx="2">
                  <c:v>0.8788836240432002</c:v>
                </c:pt>
                <c:pt idx="3">
                  <c:v>0.81595406973023477</c:v>
                </c:pt>
                <c:pt idx="4">
                  <c:v>0.75669581488222759</c:v>
                </c:pt>
                <c:pt idx="5">
                  <c:v>0.70203915366862701</c:v>
                </c:pt>
                <c:pt idx="6">
                  <c:v>0.65314030015308366</c:v>
                </c:pt>
                <c:pt idx="7">
                  <c:v>0.61138240580018621</c:v>
                </c:pt>
                <c:pt idx="8">
                  <c:v>0.57829773946435592</c:v>
                </c:pt>
                <c:pt idx="9">
                  <c:v>0.56330204367964043</c:v>
                </c:pt>
                <c:pt idx="10">
                  <c:v>0.53987002317202626</c:v>
                </c:pt>
                <c:pt idx="11">
                  <c:v>0.51900936672372699</c:v>
                </c:pt>
                <c:pt idx="12">
                  <c:v>0.68171664695133105</c:v>
                </c:pt>
              </c:numCache>
            </c:numRef>
          </c:xVal>
          <c:yVal>
            <c:numRef>
              <c:f>Sheet9!$X$27:$X$39</c:f>
              <c:numCache>
                <c:formatCode>0.00%</c:formatCode>
                <c:ptCount val="13"/>
                <c:pt idx="0">
                  <c:v>0.15000000046479123</c:v>
                </c:pt>
                <c:pt idx="1">
                  <c:v>0.15499999773049522</c:v>
                </c:pt>
                <c:pt idx="2">
                  <c:v>0.16000000021103611</c:v>
                </c:pt>
                <c:pt idx="3">
                  <c:v>0.16500000027950368</c:v>
                </c:pt>
                <c:pt idx="4">
                  <c:v>0.17000000041935587</c:v>
                </c:pt>
                <c:pt idx="5">
                  <c:v>0.17499999994455417</c:v>
                </c:pt>
                <c:pt idx="6">
                  <c:v>0.17999999985333975</c:v>
                </c:pt>
                <c:pt idx="7">
                  <c:v>0.18499999764094607</c:v>
                </c:pt>
                <c:pt idx="8">
                  <c:v>0.19000000002195949</c:v>
                </c:pt>
                <c:pt idx="9">
                  <c:v>0.19280000000000014</c:v>
                </c:pt>
                <c:pt idx="10">
                  <c:v>0.19800000000000015</c:v>
                </c:pt>
                <c:pt idx="11">
                  <c:v>0.20679945164984459</c:v>
                </c:pt>
                <c:pt idx="12">
                  <c:v>0.22999999968897156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5CF-274F-BD97-6D21CD0E55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6333344"/>
        <c:axId val="844541328"/>
      </c:scatterChart>
      <c:valAx>
        <c:axId val="856333344"/>
        <c:scaling>
          <c:orientation val="minMax"/>
          <c:max val="1.4"/>
          <c:min val="0.30000000000000004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Standard Deviation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4541328"/>
        <c:crosses val="autoZero"/>
        <c:crossBetween val="midCat"/>
      </c:valAx>
      <c:valAx>
        <c:axId val="844541328"/>
        <c:scaling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Expected 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6333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87922</xdr:colOff>
      <xdr:row>1</xdr:row>
      <xdr:rowOff>19539</xdr:rowOff>
    </xdr:from>
    <xdr:to>
      <xdr:col>10</xdr:col>
      <xdr:colOff>820614</xdr:colOff>
      <xdr:row>12</xdr:row>
      <xdr:rowOff>166077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C5B5864-201D-654F-BE1D-46D7553B6F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156309</xdr:colOff>
      <xdr:row>25</xdr:row>
      <xdr:rowOff>100866</xdr:rowOff>
    </xdr:from>
    <xdr:to>
      <xdr:col>14</xdr:col>
      <xdr:colOff>478692</xdr:colOff>
      <xdr:row>42</xdr:row>
      <xdr:rowOff>39077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DC9C9D9-DF83-D14A-A4E3-6D76980EA8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69273</xdr:colOff>
      <xdr:row>8</xdr:row>
      <xdr:rowOff>26267</xdr:rowOff>
    </xdr:from>
    <xdr:to>
      <xdr:col>14</xdr:col>
      <xdr:colOff>103910</xdr:colOff>
      <xdr:row>22</xdr:row>
      <xdr:rowOff>8470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6C9CC0C-3F0B-6241-92A6-E076735B7F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173182</xdr:colOff>
      <xdr:row>30</xdr:row>
      <xdr:rowOff>219364</xdr:rowOff>
    </xdr:from>
    <xdr:to>
      <xdr:col>13</xdr:col>
      <xdr:colOff>408975</xdr:colOff>
      <xdr:row>49</xdr:row>
      <xdr:rowOff>96961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8B37FBA-10A6-8F46-A949-83731CE6EA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324555</xdr:colOff>
      <xdr:row>4</xdr:row>
      <xdr:rowOff>138417</xdr:rowOff>
    </xdr:from>
    <xdr:to>
      <xdr:col>18</xdr:col>
      <xdr:colOff>493889</xdr:colOff>
      <xdr:row>23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91E067D-7C57-9C47-B888-30C61F9CBD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75491</xdr:colOff>
      <xdr:row>15</xdr:row>
      <xdr:rowOff>147049</xdr:rowOff>
    </xdr:from>
    <xdr:to>
      <xdr:col>14</xdr:col>
      <xdr:colOff>397874</xdr:colOff>
      <xdr:row>31</xdr:row>
      <xdr:rowOff>154533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2C52AAA-4169-8C48-86A3-CAF08FEE2E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103909</xdr:colOff>
      <xdr:row>15</xdr:row>
      <xdr:rowOff>83129</xdr:rowOff>
    </xdr:from>
    <xdr:to>
      <xdr:col>29</xdr:col>
      <xdr:colOff>639330</xdr:colOff>
      <xdr:row>29</xdr:row>
      <xdr:rowOff>33194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4AB8495-44B3-3441-80A9-2AF143CFAE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37522</xdr:colOff>
      <xdr:row>10</xdr:row>
      <xdr:rowOff>30307</xdr:rowOff>
    </xdr:from>
    <xdr:to>
      <xdr:col>40</xdr:col>
      <xdr:colOff>535420</xdr:colOff>
      <xdr:row>29</xdr:row>
      <xdr:rowOff>131330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D890CE2-3B9D-CE4A-8B55-EBF61FBA12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AD06E-3F2B-804A-85CE-94F8D2A63E16}">
  <dimension ref="A1:W121"/>
  <sheetViews>
    <sheetView showGridLines="0" zoomScale="120" zoomScaleNormal="120" workbookViewId="0">
      <selection activeCell="H5" sqref="H5"/>
    </sheetView>
  </sheetViews>
  <sheetFormatPr baseColWidth="10" defaultRowHeight="16" x14ac:dyDescent="0.2"/>
  <cols>
    <col min="13" max="13" width="15" bestFit="1" customWidth="1"/>
    <col min="14" max="14" width="21.1640625" bestFit="1" customWidth="1"/>
    <col min="15" max="15" width="11" bestFit="1" customWidth="1"/>
    <col min="16" max="16" width="18.83203125" bestFit="1" customWidth="1"/>
    <col min="17" max="17" width="7.83203125" bestFit="1" customWidth="1"/>
    <col min="18" max="18" width="8.83203125" bestFit="1" customWidth="1"/>
    <col min="19" max="19" width="8.6640625" bestFit="1" customWidth="1"/>
    <col min="20" max="20" width="13.1640625" bestFit="1" customWidth="1"/>
    <col min="21" max="21" width="17.6640625" bestFit="1" customWidth="1"/>
    <col min="22" max="22" width="13.83203125" bestFit="1" customWidth="1"/>
    <col min="23" max="23" width="9" bestFit="1" customWidth="1"/>
    <col min="25" max="26" width="10.83203125" customWidth="1"/>
  </cols>
  <sheetData>
    <row r="1" spans="1:23" ht="17" thickBot="1" x14ac:dyDescent="0.25">
      <c r="A1" s="49" t="s">
        <v>0</v>
      </c>
      <c r="B1" s="41" t="s">
        <v>3</v>
      </c>
      <c r="C1" s="41" t="s">
        <v>6</v>
      </c>
      <c r="D1" s="41" t="s">
        <v>10</v>
      </c>
      <c r="E1" s="41" t="s">
        <v>13</v>
      </c>
      <c r="F1" s="41" t="s">
        <v>16</v>
      </c>
      <c r="G1" s="41" t="s">
        <v>19</v>
      </c>
      <c r="H1" s="41" t="s">
        <v>22</v>
      </c>
      <c r="I1" s="41" t="s">
        <v>25</v>
      </c>
      <c r="J1" s="41" t="s">
        <v>28</v>
      </c>
      <c r="K1" s="42" t="s">
        <v>31</v>
      </c>
      <c r="M1" s="77" t="s">
        <v>57</v>
      </c>
      <c r="N1" s="77" t="s">
        <v>3</v>
      </c>
      <c r="O1" s="77" t="s">
        <v>6</v>
      </c>
      <c r="P1" s="77" t="s">
        <v>10</v>
      </c>
      <c r="Q1" s="77" t="s">
        <v>13</v>
      </c>
      <c r="R1" s="77" t="s">
        <v>16</v>
      </c>
      <c r="S1" s="77" t="s">
        <v>19</v>
      </c>
      <c r="T1" s="77" t="s">
        <v>22</v>
      </c>
      <c r="U1" s="77" t="s">
        <v>25</v>
      </c>
      <c r="V1" s="77" t="s">
        <v>28</v>
      </c>
      <c r="W1" s="68" t="s">
        <v>31</v>
      </c>
    </row>
    <row r="2" spans="1:23" x14ac:dyDescent="0.2">
      <c r="A2" s="86">
        <v>40544</v>
      </c>
      <c r="B2" s="69">
        <v>42.028229000000003</v>
      </c>
      <c r="C2" s="69">
        <v>13.300674000000001</v>
      </c>
      <c r="D2" s="69">
        <v>34.340000000000003</v>
      </c>
      <c r="E2" s="69">
        <v>50.552109000000002</v>
      </c>
      <c r="F2" s="69">
        <v>11.992208</v>
      </c>
      <c r="G2" s="69">
        <v>21.996625999999999</v>
      </c>
      <c r="H2" s="69">
        <v>22.376183000000001</v>
      </c>
      <c r="I2" s="69">
        <v>28.202891999999999</v>
      </c>
      <c r="J2" s="69">
        <v>43.834015000000001</v>
      </c>
      <c r="K2" s="70">
        <v>18.215033999999999</v>
      </c>
      <c r="M2" s="79" t="s">
        <v>2</v>
      </c>
      <c r="N2" s="82" t="s">
        <v>34</v>
      </c>
      <c r="O2" s="82" t="s">
        <v>9</v>
      </c>
      <c r="P2" s="82" t="s">
        <v>12</v>
      </c>
      <c r="Q2" s="82" t="s">
        <v>15</v>
      </c>
      <c r="R2" s="82" t="s">
        <v>18</v>
      </c>
      <c r="S2" s="82" t="s">
        <v>21</v>
      </c>
      <c r="T2" s="82" t="s">
        <v>24</v>
      </c>
      <c r="U2" s="82" t="s">
        <v>26</v>
      </c>
      <c r="V2" s="82" t="s">
        <v>29</v>
      </c>
      <c r="W2" s="75" t="s">
        <v>32</v>
      </c>
    </row>
    <row r="3" spans="1:23" x14ac:dyDescent="0.2">
      <c r="A3" s="87">
        <v>40575</v>
      </c>
      <c r="B3" s="71">
        <v>42.036391999999999</v>
      </c>
      <c r="C3" s="71">
        <v>13.912345</v>
      </c>
      <c r="D3" s="71">
        <v>36.840000000000003</v>
      </c>
      <c r="E3" s="71">
        <v>52.149918</v>
      </c>
      <c r="F3" s="71">
        <v>12.481325</v>
      </c>
      <c r="G3" s="71">
        <v>21.084394</v>
      </c>
      <c r="H3" s="71">
        <v>22.774177999999999</v>
      </c>
      <c r="I3" s="71">
        <v>25.915129</v>
      </c>
      <c r="J3" s="71">
        <v>40.636561999999998</v>
      </c>
      <c r="K3" s="72">
        <v>19.661545</v>
      </c>
      <c r="M3" s="78" t="s">
        <v>4</v>
      </c>
      <c r="N3" s="83">
        <v>1989</v>
      </c>
      <c r="O3" s="83">
        <v>1971</v>
      </c>
      <c r="P3" s="83">
        <v>1946</v>
      </c>
      <c r="Q3" s="83">
        <v>2007</v>
      </c>
      <c r="R3" s="83">
        <v>1904</v>
      </c>
      <c r="S3" s="83">
        <v>1975</v>
      </c>
      <c r="T3" s="83">
        <v>1966</v>
      </c>
      <c r="U3" s="83">
        <v>1908</v>
      </c>
      <c r="V3" s="83">
        <v>1962</v>
      </c>
      <c r="W3" s="81">
        <v>1964</v>
      </c>
    </row>
    <row r="4" spans="1:23" x14ac:dyDescent="0.2">
      <c r="A4" s="86">
        <v>40603</v>
      </c>
      <c r="B4" s="69">
        <v>44.886177000000004</v>
      </c>
      <c r="C4" s="69">
        <v>15.649502999999999</v>
      </c>
      <c r="D4" s="69">
        <v>31.83</v>
      </c>
      <c r="E4" s="69">
        <v>51.842979</v>
      </c>
      <c r="F4" s="69">
        <v>11.642832</v>
      </c>
      <c r="G4" s="69">
        <v>20.25948</v>
      </c>
      <c r="H4" s="69">
        <v>23.830725000000001</v>
      </c>
      <c r="I4" s="69">
        <v>23.982893000000001</v>
      </c>
      <c r="J4" s="69">
        <v>40.691291999999997</v>
      </c>
      <c r="K4" s="70">
        <v>16.717728000000001</v>
      </c>
      <c r="M4" s="79" t="s">
        <v>1</v>
      </c>
      <c r="N4" s="82" t="s">
        <v>5</v>
      </c>
      <c r="O4" s="82" t="s">
        <v>7</v>
      </c>
      <c r="P4" s="82" t="s">
        <v>11</v>
      </c>
      <c r="Q4" s="82" t="s">
        <v>14</v>
      </c>
      <c r="R4" s="82" t="s">
        <v>17</v>
      </c>
      <c r="S4" s="82" t="s">
        <v>20</v>
      </c>
      <c r="T4" s="82" t="s">
        <v>23</v>
      </c>
      <c r="U4" s="82" t="s">
        <v>27</v>
      </c>
      <c r="V4" s="82" t="s">
        <v>30</v>
      </c>
      <c r="W4" s="75" t="s">
        <v>33</v>
      </c>
    </row>
    <row r="5" spans="1:23" x14ac:dyDescent="0.2">
      <c r="A5" s="87">
        <v>40634</v>
      </c>
      <c r="B5" s="71">
        <v>46.649940000000001</v>
      </c>
      <c r="C5" s="71">
        <v>15.331849999999999</v>
      </c>
      <c r="D5" s="71">
        <v>28.309999000000001</v>
      </c>
      <c r="E5" s="71">
        <v>53.407722</v>
      </c>
      <c r="F5" s="71">
        <v>10.733437</v>
      </c>
      <c r="G5" s="71">
        <v>20.682383000000002</v>
      </c>
      <c r="H5" s="71">
        <v>26.118931</v>
      </c>
      <c r="I5" s="71">
        <v>24.802157999999999</v>
      </c>
      <c r="J5" s="71">
        <v>43.283154000000003</v>
      </c>
      <c r="K5" s="72">
        <v>18.243725000000001</v>
      </c>
      <c r="M5" s="78" t="s">
        <v>35</v>
      </c>
      <c r="N5" s="83">
        <v>9.26</v>
      </c>
      <c r="O5" s="83" t="s">
        <v>36</v>
      </c>
      <c r="P5" s="83">
        <v>2.56</v>
      </c>
      <c r="Q5" s="83" t="s">
        <v>36</v>
      </c>
      <c r="R5" s="83">
        <v>1.07</v>
      </c>
      <c r="S5" s="83">
        <v>13.6</v>
      </c>
      <c r="T5" s="83">
        <v>61.3</v>
      </c>
      <c r="U5" s="83">
        <v>1.35</v>
      </c>
      <c r="V5" s="83">
        <v>2.97</v>
      </c>
      <c r="W5" s="81">
        <v>20</v>
      </c>
    </row>
    <row r="6" spans="1:23" ht="17" thickBot="1" x14ac:dyDescent="0.25">
      <c r="A6" s="86">
        <v>40664</v>
      </c>
      <c r="B6" s="69">
        <v>47.242958000000002</v>
      </c>
      <c r="C6" s="69">
        <v>15.581735999999999</v>
      </c>
      <c r="D6" s="69">
        <v>26.74</v>
      </c>
      <c r="E6" s="69">
        <v>52.756824000000002</v>
      </c>
      <c r="F6" s="69">
        <v>10.270185</v>
      </c>
      <c r="G6" s="69">
        <v>19.956258999999999</v>
      </c>
      <c r="H6" s="69">
        <v>27.190982999999999</v>
      </c>
      <c r="I6" s="69">
        <v>24.585750999999998</v>
      </c>
      <c r="J6" s="69">
        <v>43.472102999999997</v>
      </c>
      <c r="K6" s="70">
        <v>18.715772999999999</v>
      </c>
      <c r="M6" s="80" t="s">
        <v>8</v>
      </c>
      <c r="N6" s="84">
        <v>1.1000000000000001</v>
      </c>
      <c r="O6" s="84">
        <v>0.88</v>
      </c>
      <c r="P6" s="84">
        <v>0.74</v>
      </c>
      <c r="Q6" s="84">
        <v>1.02</v>
      </c>
      <c r="R6" s="84">
        <v>1.58</v>
      </c>
      <c r="S6" s="84">
        <v>0.79</v>
      </c>
      <c r="T6" s="84">
        <v>1.18</v>
      </c>
      <c r="U6" s="84">
        <v>1.39</v>
      </c>
      <c r="V6" s="84">
        <v>0.48</v>
      </c>
      <c r="W6" s="76">
        <v>0.88</v>
      </c>
    </row>
    <row r="7" spans="1:23" x14ac:dyDescent="0.2">
      <c r="A7" s="87">
        <v>40695</v>
      </c>
      <c r="B7" s="71">
        <v>49.737228000000002</v>
      </c>
      <c r="C7" s="71">
        <v>16.785004000000001</v>
      </c>
      <c r="D7" s="71">
        <v>26.389999</v>
      </c>
      <c r="E7" s="71">
        <v>51.572617000000001</v>
      </c>
      <c r="F7" s="71">
        <v>9.5796790000000005</v>
      </c>
      <c r="G7" s="71">
        <v>20.882204000000002</v>
      </c>
      <c r="H7" s="71">
        <v>28.544609000000001</v>
      </c>
      <c r="I7" s="71">
        <v>23.465057000000002</v>
      </c>
      <c r="J7" s="71">
        <v>42.111396999999997</v>
      </c>
      <c r="K7" s="72">
        <v>19.941330000000001</v>
      </c>
    </row>
    <row r="8" spans="1:23" x14ac:dyDescent="0.2">
      <c r="A8" s="86">
        <v>40725</v>
      </c>
      <c r="B8" s="69">
        <v>48.683551999999999</v>
      </c>
      <c r="C8" s="69">
        <v>17.040028</v>
      </c>
      <c r="D8" s="69">
        <v>25.1</v>
      </c>
      <c r="E8" s="69">
        <v>52.548980999999998</v>
      </c>
      <c r="F8" s="69">
        <v>8.4943349999999995</v>
      </c>
      <c r="G8" s="69">
        <v>22.006630000000001</v>
      </c>
      <c r="H8" s="69">
        <v>28.725529000000002</v>
      </c>
      <c r="I8" s="69">
        <v>21.393698000000001</v>
      </c>
      <c r="J8" s="69">
        <v>41.770640999999998</v>
      </c>
      <c r="K8" s="70">
        <v>20.054686</v>
      </c>
    </row>
    <row r="9" spans="1:23" x14ac:dyDescent="0.2">
      <c r="A9" s="87">
        <v>40756</v>
      </c>
      <c r="B9" s="71">
        <v>44.114849</v>
      </c>
      <c r="C9" s="71">
        <v>16.415220000000001</v>
      </c>
      <c r="D9" s="71">
        <v>21.950001</v>
      </c>
      <c r="E9" s="71">
        <v>49.885292</v>
      </c>
      <c r="F9" s="71">
        <v>7.1471390000000001</v>
      </c>
      <c r="G9" s="71">
        <v>21.364100000000001</v>
      </c>
      <c r="H9" s="71">
        <v>31.246813</v>
      </c>
      <c r="I9" s="71">
        <v>18.572638000000001</v>
      </c>
      <c r="J9" s="71">
        <v>42.151015999999998</v>
      </c>
      <c r="K9" s="72">
        <v>19.276070000000001</v>
      </c>
    </row>
    <row r="10" spans="1:23" x14ac:dyDescent="0.2">
      <c r="A10" s="86">
        <v>40787</v>
      </c>
      <c r="B10" s="69">
        <v>43.365723000000003</v>
      </c>
      <c r="C10" s="69">
        <v>15.906216000000001</v>
      </c>
      <c r="D10" s="69">
        <v>19</v>
      </c>
      <c r="E10" s="69">
        <v>47.556828000000003</v>
      </c>
      <c r="F10" s="69">
        <v>5.3603949999999996</v>
      </c>
      <c r="G10" s="69">
        <v>20.116869000000001</v>
      </c>
      <c r="H10" s="69">
        <v>30.057435999999999</v>
      </c>
      <c r="I10" s="69">
        <v>15.596997999999999</v>
      </c>
      <c r="J10" s="69">
        <v>41.426299999999998</v>
      </c>
      <c r="K10" s="70">
        <v>19.022478</v>
      </c>
    </row>
    <row r="11" spans="1:23" x14ac:dyDescent="0.2">
      <c r="A11" s="87">
        <v>40817</v>
      </c>
      <c r="B11" s="71">
        <v>49.605518000000004</v>
      </c>
      <c r="C11" s="71">
        <v>18.068853000000001</v>
      </c>
      <c r="D11" s="71">
        <v>20.969999000000001</v>
      </c>
      <c r="E11" s="71">
        <v>52.601050999999998</v>
      </c>
      <c r="F11" s="71">
        <v>5.982272</v>
      </c>
      <c r="G11" s="71">
        <v>21.523191000000001</v>
      </c>
      <c r="H11" s="71">
        <v>32.908138000000001</v>
      </c>
      <c r="I11" s="71">
        <v>19.979301</v>
      </c>
      <c r="J11" s="71">
        <v>45.273563000000003</v>
      </c>
      <c r="K11" s="72">
        <v>21.510891000000001</v>
      </c>
    </row>
    <row r="12" spans="1:23" x14ac:dyDescent="0.2">
      <c r="A12" s="86">
        <v>40848</v>
      </c>
      <c r="B12" s="69">
        <v>48.258778</v>
      </c>
      <c r="C12" s="69">
        <v>18.546589000000001</v>
      </c>
      <c r="D12" s="69">
        <v>18.049999</v>
      </c>
      <c r="E12" s="69">
        <v>51.185043</v>
      </c>
      <c r="F12" s="69">
        <v>4.7647950000000003</v>
      </c>
      <c r="G12" s="69">
        <v>20.674547</v>
      </c>
      <c r="H12" s="69">
        <v>35.513629999999999</v>
      </c>
      <c r="I12" s="69">
        <v>16.454906000000001</v>
      </c>
      <c r="J12" s="69">
        <v>47.013649000000001</v>
      </c>
      <c r="K12" s="70">
        <v>21.472935</v>
      </c>
    </row>
    <row r="13" spans="1:23" x14ac:dyDescent="0.2">
      <c r="A13" s="87">
        <v>40878</v>
      </c>
      <c r="B13" s="71">
        <v>44.343429999999998</v>
      </c>
      <c r="C13" s="71">
        <v>19.702528000000001</v>
      </c>
      <c r="D13" s="71">
        <v>18.040001</v>
      </c>
      <c r="E13" s="71">
        <v>50.676730999999997</v>
      </c>
      <c r="F13" s="71">
        <v>4.8795080000000004</v>
      </c>
      <c r="G13" s="71">
        <v>21.139664</v>
      </c>
      <c r="H13" s="71">
        <v>35.349598</v>
      </c>
      <c r="I13" s="71">
        <v>15.666556999999999</v>
      </c>
      <c r="J13" s="71">
        <v>47.700080999999997</v>
      </c>
      <c r="K13" s="72">
        <v>21.515357999999999</v>
      </c>
    </row>
    <row r="14" spans="1:23" x14ac:dyDescent="0.2">
      <c r="A14" s="86">
        <v>40909</v>
      </c>
      <c r="B14" s="69">
        <v>47.767273000000003</v>
      </c>
      <c r="C14" s="69">
        <v>20.520430000000001</v>
      </c>
      <c r="D14" s="69">
        <v>18.219999000000001</v>
      </c>
      <c r="E14" s="69">
        <v>55.153171999999998</v>
      </c>
      <c r="F14" s="69">
        <v>6.2573530000000002</v>
      </c>
      <c r="G14" s="69">
        <v>24.046782</v>
      </c>
      <c r="H14" s="69">
        <v>33.714001000000003</v>
      </c>
      <c r="I14" s="69">
        <v>18.564907000000002</v>
      </c>
      <c r="J14" s="69">
        <v>49.283230000000003</v>
      </c>
      <c r="K14" s="70">
        <v>23.303799000000001</v>
      </c>
    </row>
    <row r="15" spans="1:23" x14ac:dyDescent="0.2">
      <c r="A15" s="87">
        <v>40940</v>
      </c>
      <c r="B15" s="71">
        <v>49.599991000000003</v>
      </c>
      <c r="C15" s="71">
        <v>20.794492999999999</v>
      </c>
      <c r="D15" s="71">
        <v>21.389999</v>
      </c>
      <c r="E15" s="71">
        <v>58.688526000000003</v>
      </c>
      <c r="F15" s="71">
        <v>6.9945449999999996</v>
      </c>
      <c r="G15" s="71">
        <v>25.846423999999999</v>
      </c>
      <c r="H15" s="71">
        <v>39.839835999999998</v>
      </c>
      <c r="I15" s="71">
        <v>20.110695</v>
      </c>
      <c r="J15" s="71">
        <v>47.451976999999999</v>
      </c>
      <c r="K15" s="72">
        <v>24.184501999999998</v>
      </c>
    </row>
    <row r="16" spans="1:23" x14ac:dyDescent="0.2">
      <c r="A16" s="86">
        <v>40969</v>
      </c>
      <c r="B16" s="69">
        <v>53.731937000000002</v>
      </c>
      <c r="C16" s="69">
        <v>24.017866000000001</v>
      </c>
      <c r="D16" s="69">
        <v>20.77</v>
      </c>
      <c r="E16" s="69">
        <v>61.549605999999997</v>
      </c>
      <c r="F16" s="69">
        <v>8.4090760000000007</v>
      </c>
      <c r="G16" s="69">
        <v>26.442807999999999</v>
      </c>
      <c r="H16" s="69">
        <v>39.891052000000002</v>
      </c>
      <c r="I16" s="69">
        <v>19.824725999999998</v>
      </c>
      <c r="J16" s="69">
        <v>49.154716000000001</v>
      </c>
      <c r="K16" s="70">
        <v>24.301029</v>
      </c>
    </row>
    <row r="17" spans="1:11" x14ac:dyDescent="0.2">
      <c r="A17" s="87">
        <v>41000</v>
      </c>
      <c r="B17" s="71">
        <v>54.106808000000001</v>
      </c>
      <c r="C17" s="71">
        <v>24.653877000000001</v>
      </c>
      <c r="D17" s="71">
        <v>16.209999</v>
      </c>
      <c r="E17" s="71">
        <v>60.933036999999999</v>
      </c>
      <c r="F17" s="71">
        <v>7.1261859999999997</v>
      </c>
      <c r="G17" s="71">
        <v>26.246082000000001</v>
      </c>
      <c r="H17" s="71">
        <v>42.900852</v>
      </c>
      <c r="I17" s="71">
        <v>17.77656</v>
      </c>
      <c r="J17" s="71">
        <v>47.632129999999997</v>
      </c>
      <c r="K17" s="72">
        <v>25.153585</v>
      </c>
    </row>
    <row r="18" spans="1:11" x14ac:dyDescent="0.2">
      <c r="A18" s="86">
        <v>41030</v>
      </c>
      <c r="B18" s="69">
        <v>48.081276000000003</v>
      </c>
      <c r="C18" s="69">
        <v>23.588131000000001</v>
      </c>
      <c r="D18" s="69">
        <v>13.24</v>
      </c>
      <c r="E18" s="69">
        <v>56.643261000000003</v>
      </c>
      <c r="F18" s="69">
        <v>6.4583810000000001</v>
      </c>
      <c r="G18" s="69">
        <v>23.926393999999998</v>
      </c>
      <c r="H18" s="69">
        <v>38.586638999999998</v>
      </c>
      <c r="I18" s="69">
        <v>17.158238999999998</v>
      </c>
      <c r="J18" s="69">
        <v>53.219253999999999</v>
      </c>
      <c r="K18" s="70">
        <v>24.323903999999999</v>
      </c>
    </row>
    <row r="19" spans="1:11" x14ac:dyDescent="0.2">
      <c r="A19" s="87">
        <v>41061</v>
      </c>
      <c r="B19" s="71">
        <v>50.59901</v>
      </c>
      <c r="C19" s="71">
        <v>22.983771999999998</v>
      </c>
      <c r="D19" s="71">
        <v>14.24</v>
      </c>
      <c r="E19" s="71">
        <v>58.559975000000001</v>
      </c>
      <c r="F19" s="71">
        <v>7.1973669999999998</v>
      </c>
      <c r="G19" s="71">
        <v>25.23847</v>
      </c>
      <c r="H19" s="71">
        <v>40.826785999999998</v>
      </c>
      <c r="I19" s="71">
        <v>15.241467</v>
      </c>
      <c r="J19" s="71">
        <v>56.755184</v>
      </c>
      <c r="K19" s="72">
        <v>19.802679000000001</v>
      </c>
    </row>
    <row r="20" spans="1:11" x14ac:dyDescent="0.2">
      <c r="A20" s="86">
        <v>41091</v>
      </c>
      <c r="B20" s="69">
        <v>50.775841</v>
      </c>
      <c r="C20" s="69">
        <v>19.518104999999998</v>
      </c>
      <c r="D20" s="69">
        <v>12.15</v>
      </c>
      <c r="E20" s="69">
        <v>59.280051999999998</v>
      </c>
      <c r="F20" s="69">
        <v>6.4582740000000003</v>
      </c>
      <c r="G20" s="69">
        <v>24.314409000000001</v>
      </c>
      <c r="H20" s="69">
        <v>41.439990999999999</v>
      </c>
      <c r="I20" s="69">
        <v>15.233736</v>
      </c>
      <c r="J20" s="69">
        <v>60.589343999999997</v>
      </c>
      <c r="K20" s="70">
        <v>21.059244</v>
      </c>
    </row>
    <row r="21" spans="1:11" x14ac:dyDescent="0.2">
      <c r="A21" s="87">
        <v>41122</v>
      </c>
      <c r="B21" s="71">
        <v>51.870517999999997</v>
      </c>
      <c r="C21" s="71">
        <v>21.384567000000001</v>
      </c>
      <c r="D21" s="71">
        <v>11.31</v>
      </c>
      <c r="E21" s="71">
        <v>62.353828</v>
      </c>
      <c r="F21" s="71">
        <v>7.0301929999999997</v>
      </c>
      <c r="G21" s="71">
        <v>25.428234</v>
      </c>
      <c r="H21" s="71">
        <v>40.169685000000001</v>
      </c>
      <c r="I21" s="71">
        <v>16.501282</v>
      </c>
      <c r="J21" s="71">
        <v>59.099612999999998</v>
      </c>
      <c r="K21" s="72">
        <v>21.963871000000001</v>
      </c>
    </row>
    <row r="22" spans="1:11" x14ac:dyDescent="0.2">
      <c r="A22" s="86">
        <v>41153</v>
      </c>
      <c r="B22" s="69">
        <v>58.969028000000002</v>
      </c>
      <c r="C22" s="69">
        <v>21.943676</v>
      </c>
      <c r="D22" s="69">
        <v>11.7</v>
      </c>
      <c r="E22" s="69">
        <v>62.728920000000002</v>
      </c>
      <c r="F22" s="69">
        <v>7.7692870000000003</v>
      </c>
      <c r="G22" s="69">
        <v>24.716336999999999</v>
      </c>
      <c r="H22" s="69">
        <v>42.884402999999999</v>
      </c>
      <c r="I22" s="69">
        <v>17.58333</v>
      </c>
      <c r="J22" s="69">
        <v>60.401389999999999</v>
      </c>
      <c r="K22" s="70">
        <v>21.489559</v>
      </c>
    </row>
    <row r="23" spans="1:11" x14ac:dyDescent="0.2">
      <c r="A23" s="87">
        <v>41183</v>
      </c>
      <c r="B23" s="71">
        <v>56.762844000000001</v>
      </c>
      <c r="C23" s="71">
        <v>19.862251000000001</v>
      </c>
      <c r="D23" s="71">
        <v>11.74</v>
      </c>
      <c r="E23" s="71">
        <v>59.586708000000002</v>
      </c>
      <c r="F23" s="71">
        <v>8.2106879999999993</v>
      </c>
      <c r="G23" s="71">
        <v>23.703098000000001</v>
      </c>
      <c r="H23" s="71">
        <v>43.782009000000002</v>
      </c>
      <c r="I23" s="71">
        <v>19.708786</v>
      </c>
      <c r="J23" s="71">
        <v>61.399895000000001</v>
      </c>
      <c r="K23" s="72">
        <v>20.690291999999999</v>
      </c>
    </row>
    <row r="24" spans="1:11" x14ac:dyDescent="0.2">
      <c r="A24" s="86">
        <v>41214</v>
      </c>
      <c r="B24" s="69">
        <v>57.857998000000002</v>
      </c>
      <c r="C24" s="69">
        <v>22.445646</v>
      </c>
      <c r="D24" s="69">
        <v>9.74</v>
      </c>
      <c r="E24" s="69">
        <v>60.366539000000003</v>
      </c>
      <c r="F24" s="69">
        <v>8.6864150000000002</v>
      </c>
      <c r="G24" s="69">
        <v>22.108501</v>
      </c>
      <c r="H24" s="69">
        <v>46.447220000000002</v>
      </c>
      <c r="I24" s="69">
        <v>20.002485</v>
      </c>
      <c r="J24" s="69">
        <v>58.944541999999998</v>
      </c>
      <c r="K24" s="70">
        <v>22.071456999999999</v>
      </c>
    </row>
    <row r="25" spans="1:11" x14ac:dyDescent="0.2">
      <c r="A25" s="87">
        <v>41244</v>
      </c>
      <c r="B25" s="71">
        <v>56.648353999999998</v>
      </c>
      <c r="C25" s="71">
        <v>23.303812000000001</v>
      </c>
      <c r="D25" s="71">
        <v>11.2</v>
      </c>
      <c r="E25" s="71">
        <v>59.751865000000002</v>
      </c>
      <c r="F25" s="71">
        <v>10.228120000000001</v>
      </c>
      <c r="G25" s="71">
        <v>22.365524000000001</v>
      </c>
      <c r="H25" s="71">
        <v>46.694347</v>
      </c>
      <c r="I25" s="71">
        <v>22.282527999999999</v>
      </c>
      <c r="J25" s="71">
        <v>55.842647999999997</v>
      </c>
      <c r="K25" s="72">
        <v>23.366572999999999</v>
      </c>
    </row>
    <row r="26" spans="1:11" x14ac:dyDescent="0.2">
      <c r="A26" s="86">
        <v>41275</v>
      </c>
      <c r="B26" s="69">
        <v>61.239852999999997</v>
      </c>
      <c r="C26" s="69">
        <v>24.385794000000001</v>
      </c>
      <c r="D26" s="69">
        <v>14.94</v>
      </c>
      <c r="E26" s="69">
        <v>61.689861000000001</v>
      </c>
      <c r="F26" s="69">
        <v>9.9827139999999996</v>
      </c>
      <c r="G26" s="69">
        <v>22.985168000000002</v>
      </c>
      <c r="H26" s="69">
        <v>49.272002999999998</v>
      </c>
      <c r="I26" s="69">
        <v>21.710588000000001</v>
      </c>
      <c r="J26" s="69">
        <v>57.568049999999999</v>
      </c>
      <c r="K26" s="70">
        <v>24.581734000000001</v>
      </c>
    </row>
    <row r="27" spans="1:11" x14ac:dyDescent="0.2">
      <c r="A27" s="87">
        <v>41306</v>
      </c>
      <c r="B27" s="71">
        <v>63.343941000000001</v>
      </c>
      <c r="C27" s="71">
        <v>23.833935</v>
      </c>
      <c r="D27" s="71">
        <v>14.58</v>
      </c>
      <c r="E27" s="71">
        <v>61.902031000000001</v>
      </c>
      <c r="F27" s="71">
        <v>9.9033429999999996</v>
      </c>
      <c r="G27" s="71">
        <v>23.278234000000001</v>
      </c>
      <c r="H27" s="71">
        <v>49.245795999999999</v>
      </c>
      <c r="I27" s="71">
        <v>20.984065999999999</v>
      </c>
      <c r="J27" s="71">
        <v>58.251125000000002</v>
      </c>
      <c r="K27" s="72">
        <v>24.768196</v>
      </c>
    </row>
    <row r="28" spans="1:11" x14ac:dyDescent="0.2">
      <c r="A28" s="86">
        <v>41334</v>
      </c>
      <c r="B28" s="69">
        <v>64.715423999999999</v>
      </c>
      <c r="C28" s="69">
        <v>24.839451</v>
      </c>
      <c r="D28" s="69">
        <v>17.399999999999999</v>
      </c>
      <c r="E28" s="69">
        <v>63.627170999999997</v>
      </c>
      <c r="F28" s="69">
        <v>10.750774</v>
      </c>
      <c r="G28" s="69">
        <v>24.154828999999999</v>
      </c>
      <c r="H28" s="69">
        <v>51.462620000000001</v>
      </c>
      <c r="I28" s="69">
        <v>21.501904</v>
      </c>
      <c r="J28" s="69">
        <v>61.584248000000002</v>
      </c>
      <c r="K28" s="70">
        <v>26.941635000000002</v>
      </c>
    </row>
    <row r="29" spans="1:11" x14ac:dyDescent="0.2">
      <c r="A29" s="87">
        <v>41365</v>
      </c>
      <c r="B29" s="71">
        <v>69.375076000000007</v>
      </c>
      <c r="C29" s="71">
        <v>26.536118999999999</v>
      </c>
      <c r="D29" s="71">
        <v>16.43</v>
      </c>
      <c r="E29" s="71">
        <v>65.392593000000005</v>
      </c>
      <c r="F29" s="71">
        <v>10.86552</v>
      </c>
      <c r="G29" s="71">
        <v>27.945644000000001</v>
      </c>
      <c r="H29" s="71">
        <v>52.584831000000001</v>
      </c>
      <c r="I29" s="71">
        <v>23.836048000000002</v>
      </c>
      <c r="J29" s="71">
        <v>64.375313000000006</v>
      </c>
      <c r="K29" s="72">
        <v>29.037251000000001</v>
      </c>
    </row>
    <row r="30" spans="1:11" x14ac:dyDescent="0.2">
      <c r="A30" s="86">
        <v>41395</v>
      </c>
      <c r="B30" s="69">
        <v>70.697211999999993</v>
      </c>
      <c r="C30" s="69">
        <v>27.539289</v>
      </c>
      <c r="D30" s="69">
        <v>20.149999999999999</v>
      </c>
      <c r="E30" s="69">
        <v>67.731994999999998</v>
      </c>
      <c r="F30" s="69">
        <v>12.057107</v>
      </c>
      <c r="G30" s="69">
        <v>29.465343000000001</v>
      </c>
      <c r="H30" s="69">
        <v>54.292965000000002</v>
      </c>
      <c r="I30" s="69">
        <v>26.193369000000001</v>
      </c>
      <c r="J30" s="69">
        <v>61.989837999999999</v>
      </c>
      <c r="K30" s="70">
        <v>28.151522</v>
      </c>
    </row>
    <row r="31" spans="1:11" x14ac:dyDescent="0.2">
      <c r="A31" s="87">
        <v>41426</v>
      </c>
      <c r="B31" s="71">
        <v>61.958008</v>
      </c>
      <c r="C31" s="71">
        <v>28.669352</v>
      </c>
      <c r="D31" s="71">
        <v>21.190000999999999</v>
      </c>
      <c r="E31" s="71">
        <v>65.901191999999995</v>
      </c>
      <c r="F31" s="71">
        <v>11.350984</v>
      </c>
      <c r="G31" s="71">
        <v>29.365891000000001</v>
      </c>
      <c r="H31" s="71">
        <v>54.697605000000003</v>
      </c>
      <c r="I31" s="71">
        <v>25.745087000000002</v>
      </c>
      <c r="J31" s="71">
        <v>62.069996000000003</v>
      </c>
      <c r="K31" s="72">
        <v>29.171123999999999</v>
      </c>
    </row>
    <row r="32" spans="1:11" x14ac:dyDescent="0.2">
      <c r="A32" s="86">
        <v>41456</v>
      </c>
      <c r="B32" s="69">
        <v>63.550860999999998</v>
      </c>
      <c r="C32" s="69">
        <v>31.198872000000001</v>
      </c>
      <c r="D32" s="69">
        <v>21.040001</v>
      </c>
      <c r="E32" s="69">
        <v>70.283828999999997</v>
      </c>
      <c r="F32" s="69">
        <v>12.896461</v>
      </c>
      <c r="G32" s="69">
        <v>27.070356</v>
      </c>
      <c r="H32" s="69">
        <v>58.135615999999999</v>
      </c>
      <c r="I32" s="69">
        <v>27.723697999999999</v>
      </c>
      <c r="J32" s="69">
        <v>64.944777999999999</v>
      </c>
      <c r="K32" s="70">
        <v>28.822970999999999</v>
      </c>
    </row>
    <row r="33" spans="1:11" x14ac:dyDescent="0.2">
      <c r="A33" s="87">
        <v>41487</v>
      </c>
      <c r="B33" s="71">
        <v>62.207695000000001</v>
      </c>
      <c r="C33" s="71">
        <v>30.861903999999999</v>
      </c>
      <c r="D33" s="71">
        <v>19.959999</v>
      </c>
      <c r="E33" s="71">
        <v>70.005568999999994</v>
      </c>
      <c r="F33" s="71">
        <v>12.472467999999999</v>
      </c>
      <c r="G33" s="71">
        <v>28.396666</v>
      </c>
      <c r="H33" s="71">
        <v>57.763435000000001</v>
      </c>
      <c r="I33" s="71">
        <v>26.340223000000002</v>
      </c>
      <c r="J33" s="71">
        <v>60.811787000000002</v>
      </c>
      <c r="K33" s="72">
        <v>28.777163999999999</v>
      </c>
    </row>
    <row r="34" spans="1:11" x14ac:dyDescent="0.2">
      <c r="A34" s="86">
        <v>41518</v>
      </c>
      <c r="B34" s="69">
        <v>63.404499000000001</v>
      </c>
      <c r="C34" s="69">
        <v>33.780524999999997</v>
      </c>
      <c r="D34" s="69">
        <v>21.52</v>
      </c>
      <c r="E34" s="69">
        <v>73.168655000000001</v>
      </c>
      <c r="F34" s="69">
        <v>12.189806000000001</v>
      </c>
      <c r="G34" s="69">
        <v>28.494019999999999</v>
      </c>
      <c r="H34" s="69">
        <v>64.120377000000005</v>
      </c>
      <c r="I34" s="69">
        <v>27.800989000000001</v>
      </c>
      <c r="J34" s="69">
        <v>62.002605000000003</v>
      </c>
      <c r="K34" s="70">
        <v>33.386237999999999</v>
      </c>
    </row>
    <row r="35" spans="1:11" x14ac:dyDescent="0.2">
      <c r="A35" s="87">
        <v>41548</v>
      </c>
      <c r="B35" s="71">
        <v>63.283938999999997</v>
      </c>
      <c r="C35" s="71">
        <v>35.571162999999999</v>
      </c>
      <c r="D35" s="71">
        <v>17.25</v>
      </c>
      <c r="E35" s="71">
        <v>77.026145999999997</v>
      </c>
      <c r="F35" s="71">
        <v>12.348637</v>
      </c>
      <c r="G35" s="71">
        <v>30.317706999999999</v>
      </c>
      <c r="H35" s="71">
        <v>68.344375999999997</v>
      </c>
      <c r="I35" s="71">
        <v>28.558418</v>
      </c>
      <c r="J35" s="71">
        <v>64.341507000000007</v>
      </c>
      <c r="K35" s="72">
        <v>34.820231999999997</v>
      </c>
    </row>
    <row r="36" spans="1:11" x14ac:dyDescent="0.2">
      <c r="A36" s="86">
        <v>41579</v>
      </c>
      <c r="B36" s="69">
        <v>67.586319000000003</v>
      </c>
      <c r="C36" s="69">
        <v>35.751102000000003</v>
      </c>
      <c r="D36" s="69">
        <v>18.299999</v>
      </c>
      <c r="E36" s="69">
        <v>79.761443999999997</v>
      </c>
      <c r="F36" s="69">
        <v>13.983922</v>
      </c>
      <c r="G36" s="69">
        <v>32.646557000000001</v>
      </c>
      <c r="H36" s="69">
        <v>72.574898000000005</v>
      </c>
      <c r="I36" s="69">
        <v>29.934175</v>
      </c>
      <c r="J36" s="69">
        <v>67.912788000000006</v>
      </c>
      <c r="K36" s="70">
        <v>36.373714</v>
      </c>
    </row>
    <row r="37" spans="1:11" x14ac:dyDescent="0.2">
      <c r="A37" s="87">
        <v>41609</v>
      </c>
      <c r="B37" s="71">
        <v>71.730316000000002</v>
      </c>
      <c r="C37" s="71">
        <v>34.514544999999998</v>
      </c>
      <c r="D37" s="71">
        <v>17.290001</v>
      </c>
      <c r="E37" s="71">
        <v>81.836205000000007</v>
      </c>
      <c r="F37" s="71">
        <v>13.762938</v>
      </c>
      <c r="G37" s="71">
        <v>32.272998999999999</v>
      </c>
      <c r="H37" s="71">
        <v>79.695876999999996</v>
      </c>
      <c r="I37" s="71">
        <v>31.588165</v>
      </c>
      <c r="J37" s="71">
        <v>65.967888000000002</v>
      </c>
      <c r="K37" s="72">
        <v>36.143901999999997</v>
      </c>
    </row>
    <row r="38" spans="1:11" x14ac:dyDescent="0.2">
      <c r="A38" s="86">
        <v>41640</v>
      </c>
      <c r="B38" s="69">
        <v>69.688843000000006</v>
      </c>
      <c r="C38" s="69">
        <v>31.313616</v>
      </c>
      <c r="D38" s="69">
        <v>15.75</v>
      </c>
      <c r="E38" s="69">
        <v>80.518814000000006</v>
      </c>
      <c r="F38" s="69">
        <v>14.815522</v>
      </c>
      <c r="G38" s="69">
        <v>32.643951000000001</v>
      </c>
      <c r="H38" s="69">
        <v>72.192383000000007</v>
      </c>
      <c r="I38" s="69">
        <v>27.886005000000001</v>
      </c>
      <c r="J38" s="69">
        <v>62.970649999999999</v>
      </c>
      <c r="K38" s="70">
        <v>33.587654000000001</v>
      </c>
    </row>
    <row r="39" spans="1:11" x14ac:dyDescent="0.2">
      <c r="A39" s="87">
        <v>41671</v>
      </c>
      <c r="B39" s="71">
        <v>72.716148000000004</v>
      </c>
      <c r="C39" s="71">
        <v>31.243168000000001</v>
      </c>
      <c r="D39" s="71">
        <v>17.549999</v>
      </c>
      <c r="E39" s="71">
        <v>84.317481999999998</v>
      </c>
      <c r="F39" s="71">
        <v>14.620929</v>
      </c>
      <c r="G39" s="71">
        <v>33.049419</v>
      </c>
      <c r="H39" s="71">
        <v>74.237160000000003</v>
      </c>
      <c r="I39" s="71">
        <v>27.978752</v>
      </c>
      <c r="J39" s="71">
        <v>62.987521999999998</v>
      </c>
      <c r="K39" s="72">
        <v>36.100403</v>
      </c>
    </row>
    <row r="40" spans="1:11" x14ac:dyDescent="0.2">
      <c r="A40" s="86">
        <v>41699</v>
      </c>
      <c r="B40" s="69">
        <v>69.549262999999996</v>
      </c>
      <c r="C40" s="69">
        <v>32.430939000000002</v>
      </c>
      <c r="D40" s="69">
        <v>19.120000999999998</v>
      </c>
      <c r="E40" s="69">
        <v>82.165154000000001</v>
      </c>
      <c r="F40" s="69">
        <v>15.213552</v>
      </c>
      <c r="G40" s="69">
        <v>35.626587000000001</v>
      </c>
      <c r="H40" s="69">
        <v>71.352463</v>
      </c>
      <c r="I40" s="69">
        <v>26.603003000000001</v>
      </c>
      <c r="J40" s="69">
        <v>64.446228000000005</v>
      </c>
      <c r="K40" s="70">
        <v>34.157874999999997</v>
      </c>
    </row>
    <row r="41" spans="1:11" x14ac:dyDescent="0.2">
      <c r="A41" s="87">
        <v>41730</v>
      </c>
      <c r="B41" s="71">
        <v>69.985473999999996</v>
      </c>
      <c r="C41" s="71">
        <v>31.211126</v>
      </c>
      <c r="D41" s="71">
        <v>17.639999</v>
      </c>
      <c r="E41" s="71">
        <v>82.090018999999998</v>
      </c>
      <c r="F41" s="71">
        <v>13.399470000000001</v>
      </c>
      <c r="G41" s="71">
        <v>35.113785</v>
      </c>
      <c r="H41" s="71">
        <v>70.254013</v>
      </c>
      <c r="I41" s="71">
        <v>26.885984000000001</v>
      </c>
      <c r="J41" s="71">
        <v>67.645583999999999</v>
      </c>
      <c r="K41" s="72">
        <v>33.737015</v>
      </c>
    </row>
    <row r="42" spans="1:11" x14ac:dyDescent="0.2">
      <c r="A42" s="86">
        <v>41760</v>
      </c>
      <c r="B42" s="69">
        <v>71.912773000000001</v>
      </c>
      <c r="C42" s="69">
        <v>32.369064000000002</v>
      </c>
      <c r="D42" s="69">
        <v>16.18</v>
      </c>
      <c r="E42" s="69">
        <v>85.772293000000005</v>
      </c>
      <c r="F42" s="69">
        <v>13.399470000000001</v>
      </c>
      <c r="G42" s="69">
        <v>35.583122000000003</v>
      </c>
      <c r="H42" s="69">
        <v>73.135520999999997</v>
      </c>
      <c r="I42" s="69">
        <v>26.963957000000001</v>
      </c>
      <c r="J42" s="69">
        <v>65.150574000000006</v>
      </c>
      <c r="K42" s="70">
        <v>35.568398000000002</v>
      </c>
    </row>
    <row r="43" spans="1:11" x14ac:dyDescent="0.2">
      <c r="A43" s="87">
        <v>41791</v>
      </c>
      <c r="B43" s="71">
        <v>71.374199000000004</v>
      </c>
      <c r="C43" s="71">
        <v>34.324604000000001</v>
      </c>
      <c r="D43" s="71">
        <v>16.77</v>
      </c>
      <c r="E43" s="71">
        <v>88.21463</v>
      </c>
      <c r="F43" s="71">
        <v>13.603027000000001</v>
      </c>
      <c r="G43" s="71">
        <v>36.499363000000002</v>
      </c>
      <c r="H43" s="71">
        <v>70.284713999999994</v>
      </c>
      <c r="I43" s="71">
        <v>28.305140000000002</v>
      </c>
      <c r="J43" s="71">
        <v>64.102279999999993</v>
      </c>
      <c r="K43" s="72">
        <v>35.977584999999998</v>
      </c>
    </row>
    <row r="44" spans="1:11" x14ac:dyDescent="0.2">
      <c r="A44" s="86">
        <v>41821</v>
      </c>
      <c r="B44" s="69">
        <v>69.996880000000004</v>
      </c>
      <c r="C44" s="69">
        <v>34.457687</v>
      </c>
      <c r="D44" s="69">
        <v>18.43</v>
      </c>
      <c r="E44" s="69">
        <v>89.497130999999996</v>
      </c>
      <c r="F44" s="69">
        <v>13.505511</v>
      </c>
      <c r="G44" s="69">
        <v>37.777279</v>
      </c>
      <c r="H44" s="69">
        <v>70.935248999999999</v>
      </c>
      <c r="I44" s="69">
        <v>26.591280000000001</v>
      </c>
      <c r="J44" s="69">
        <v>62.829982999999999</v>
      </c>
      <c r="K44" s="70">
        <v>35.782722</v>
      </c>
    </row>
    <row r="45" spans="1:11" x14ac:dyDescent="0.2">
      <c r="A45" s="87">
        <v>41852</v>
      </c>
      <c r="B45" s="71">
        <v>71.568450999999996</v>
      </c>
      <c r="C45" s="71">
        <v>34.515354000000002</v>
      </c>
      <c r="D45" s="71">
        <v>19.110001</v>
      </c>
      <c r="E45" s="71">
        <v>93.980475999999996</v>
      </c>
      <c r="F45" s="71">
        <v>14.249416999999999</v>
      </c>
      <c r="G45" s="71">
        <v>39.764178999999999</v>
      </c>
      <c r="H45" s="71">
        <v>72.627364999999998</v>
      </c>
      <c r="I45" s="71">
        <v>27.361813999999999</v>
      </c>
      <c r="J45" s="71">
        <v>64.469459999999998</v>
      </c>
      <c r="K45" s="72">
        <v>36.441513</v>
      </c>
    </row>
    <row r="46" spans="1:11" x14ac:dyDescent="0.2">
      <c r="A46" s="86">
        <v>41883</v>
      </c>
      <c r="B46" s="69">
        <v>71.798018999999996</v>
      </c>
      <c r="C46" s="69">
        <v>33.585563999999998</v>
      </c>
      <c r="D46" s="69">
        <v>18.040001</v>
      </c>
      <c r="E46" s="69">
        <v>93.048004000000006</v>
      </c>
      <c r="F46" s="69">
        <v>15.099603999999999</v>
      </c>
      <c r="G46" s="69">
        <v>40.831631000000002</v>
      </c>
      <c r="H46" s="69">
        <v>70.816727</v>
      </c>
      <c r="I46" s="69">
        <v>25.113119000000001</v>
      </c>
      <c r="J46" s="69">
        <v>65.727928000000006</v>
      </c>
      <c r="K46" s="70">
        <v>41.507300999999998</v>
      </c>
    </row>
    <row r="47" spans="1:11" x14ac:dyDescent="0.2">
      <c r="A47" s="87">
        <v>41913</v>
      </c>
      <c r="B47" s="71">
        <v>71.621444999999994</v>
      </c>
      <c r="C47" s="71">
        <v>33.630062000000002</v>
      </c>
      <c r="D47" s="71">
        <v>19.82</v>
      </c>
      <c r="E47" s="71">
        <v>95.733528000000007</v>
      </c>
      <c r="F47" s="71">
        <v>15.243869</v>
      </c>
      <c r="G47" s="71">
        <v>41.351269000000002</v>
      </c>
      <c r="H47" s="71">
        <v>80.234047000000004</v>
      </c>
      <c r="I47" s="71">
        <v>24.904593999999999</v>
      </c>
      <c r="J47" s="71">
        <v>65.556045999999995</v>
      </c>
      <c r="K47" s="72">
        <v>43.261584999999997</v>
      </c>
    </row>
    <row r="48" spans="1:11" x14ac:dyDescent="0.2">
      <c r="A48" s="86">
        <v>41944</v>
      </c>
      <c r="B48" s="69">
        <v>77.255927999999997</v>
      </c>
      <c r="C48" s="69">
        <v>36.144748999999997</v>
      </c>
      <c r="D48" s="69">
        <v>21.99</v>
      </c>
      <c r="E48" s="69">
        <v>100.085915</v>
      </c>
      <c r="F48" s="69">
        <v>15.137264999999999</v>
      </c>
      <c r="G48" s="69">
        <v>42.108727000000002</v>
      </c>
      <c r="H48" s="69">
        <v>83.749069000000006</v>
      </c>
      <c r="I48" s="69">
        <v>26.514668</v>
      </c>
      <c r="J48" s="69">
        <v>75.242881999999994</v>
      </c>
      <c r="K48" s="70">
        <v>46.202461</v>
      </c>
    </row>
    <row r="49" spans="1:11" x14ac:dyDescent="0.2">
      <c r="A49" s="87">
        <v>41974</v>
      </c>
      <c r="B49" s="71">
        <v>79.922691</v>
      </c>
      <c r="C49" s="71">
        <v>36.669460000000001</v>
      </c>
      <c r="D49" s="71">
        <v>20.469999000000001</v>
      </c>
      <c r="E49" s="71">
        <v>97.480148</v>
      </c>
      <c r="F49" s="71">
        <v>15.892348999999999</v>
      </c>
      <c r="G49" s="71">
        <v>41.168922000000002</v>
      </c>
      <c r="H49" s="71">
        <v>82.664894000000004</v>
      </c>
      <c r="I49" s="71">
        <v>27.688514999999999</v>
      </c>
      <c r="J49" s="71">
        <v>73.816070999999994</v>
      </c>
      <c r="K49" s="72">
        <v>44.741332999999997</v>
      </c>
    </row>
    <row r="50" spans="1:11" x14ac:dyDescent="0.2">
      <c r="A50" s="86">
        <v>42005</v>
      </c>
      <c r="B50" s="69">
        <v>75.197677999999996</v>
      </c>
      <c r="C50" s="69">
        <v>39.118552999999999</v>
      </c>
      <c r="D50" s="69">
        <v>23.290001</v>
      </c>
      <c r="E50" s="69">
        <v>95.805938999999995</v>
      </c>
      <c r="F50" s="69">
        <v>13.497659000000001</v>
      </c>
      <c r="G50" s="69">
        <v>35.806781999999998</v>
      </c>
      <c r="H50" s="69">
        <v>78.702422999999996</v>
      </c>
      <c r="I50" s="69">
        <v>26.103024999999999</v>
      </c>
      <c r="J50" s="69">
        <v>73.450569000000002</v>
      </c>
      <c r="K50" s="70">
        <v>43.049968999999997</v>
      </c>
    </row>
    <row r="51" spans="1:11" x14ac:dyDescent="0.2">
      <c r="A51" s="87">
        <v>42036</v>
      </c>
      <c r="B51" s="71">
        <v>80.567008999999999</v>
      </c>
      <c r="C51" s="71">
        <v>41.782173</v>
      </c>
      <c r="D51" s="71">
        <v>28.32</v>
      </c>
      <c r="E51" s="71">
        <v>102.72369399999999</v>
      </c>
      <c r="F51" s="71">
        <v>14.085678</v>
      </c>
      <c r="G51" s="71">
        <v>38.864536000000001</v>
      </c>
      <c r="H51" s="71">
        <v>86.640670999999998</v>
      </c>
      <c r="I51" s="71">
        <v>29.856034999999999</v>
      </c>
      <c r="J51" s="71">
        <v>72.543021999999993</v>
      </c>
      <c r="K51" s="72">
        <v>45.322642999999999</v>
      </c>
    </row>
    <row r="52" spans="1:11" x14ac:dyDescent="0.2">
      <c r="A52" s="86">
        <v>42064</v>
      </c>
      <c r="B52" s="69">
        <v>83.842315999999997</v>
      </c>
      <c r="C52" s="69">
        <v>42.477421</v>
      </c>
      <c r="D52" s="69">
        <v>26.780000999999999</v>
      </c>
      <c r="E52" s="69">
        <v>100.070305</v>
      </c>
      <c r="F52" s="69">
        <v>13.711484</v>
      </c>
      <c r="G52" s="69">
        <v>36.293681999999997</v>
      </c>
      <c r="H52" s="69">
        <v>83.045501999999999</v>
      </c>
      <c r="I52" s="69">
        <v>30.008075999999999</v>
      </c>
      <c r="J52" s="69">
        <v>71.090926999999994</v>
      </c>
      <c r="K52" s="70">
        <v>46.956448000000002</v>
      </c>
    </row>
    <row r="53" spans="1:11" x14ac:dyDescent="0.2">
      <c r="A53" s="87">
        <v>42095</v>
      </c>
      <c r="B53" s="71">
        <v>82.911636000000001</v>
      </c>
      <c r="C53" s="71">
        <v>44.477947</v>
      </c>
      <c r="D53" s="71">
        <v>30.23</v>
      </c>
      <c r="E53" s="71">
        <v>102.22856899999999</v>
      </c>
      <c r="F53" s="71">
        <v>14.236969</v>
      </c>
      <c r="G53" s="71">
        <v>43.416736999999998</v>
      </c>
      <c r="H53" s="71">
        <v>86.717606000000004</v>
      </c>
      <c r="I53" s="71">
        <v>28.285892</v>
      </c>
      <c r="J53" s="71">
        <v>67.865966999999998</v>
      </c>
      <c r="K53" s="72">
        <v>46.259087000000001</v>
      </c>
    </row>
    <row r="54" spans="1:11" x14ac:dyDescent="0.2">
      <c r="A54" s="86">
        <v>42125</v>
      </c>
      <c r="B54" s="69">
        <v>86.864517000000006</v>
      </c>
      <c r="C54" s="69">
        <v>46.613028999999997</v>
      </c>
      <c r="D54" s="69">
        <v>30.92</v>
      </c>
      <c r="E54" s="69">
        <v>104.52713</v>
      </c>
      <c r="F54" s="69">
        <v>14.746387</v>
      </c>
      <c r="G54" s="69">
        <v>41.827891999999999</v>
      </c>
      <c r="H54" s="69">
        <v>88.851012999999995</v>
      </c>
      <c r="I54" s="69">
        <v>29.020060999999998</v>
      </c>
      <c r="J54" s="69">
        <v>64.579177999999999</v>
      </c>
      <c r="K54" s="70">
        <v>47.583587999999999</v>
      </c>
    </row>
    <row r="55" spans="1:11" x14ac:dyDescent="0.2">
      <c r="A55" s="87">
        <v>42156</v>
      </c>
      <c r="B55" s="71">
        <v>87.533812999999995</v>
      </c>
      <c r="C55" s="71">
        <v>48.255253000000003</v>
      </c>
      <c r="D55" s="71">
        <v>28.389999</v>
      </c>
      <c r="E55" s="71">
        <v>101.69667099999999</v>
      </c>
      <c r="F55" s="71">
        <v>15.211124999999999</v>
      </c>
      <c r="G55" s="71">
        <v>39.665024000000003</v>
      </c>
      <c r="H55" s="71">
        <v>90.025931999999997</v>
      </c>
      <c r="I55" s="71">
        <v>26.890149999999998</v>
      </c>
      <c r="J55" s="71">
        <v>62.064224000000003</v>
      </c>
      <c r="K55" s="72">
        <v>50.693542000000001</v>
      </c>
    </row>
    <row r="56" spans="1:11" x14ac:dyDescent="0.2">
      <c r="A56" s="86">
        <v>42186</v>
      </c>
      <c r="B56" s="69">
        <v>93.259048000000007</v>
      </c>
      <c r="C56" s="69">
        <v>52.134033000000002</v>
      </c>
      <c r="D56" s="69">
        <v>28.35</v>
      </c>
      <c r="E56" s="69">
        <v>106.57633199999999</v>
      </c>
      <c r="F56" s="69">
        <v>16.027657999999999</v>
      </c>
      <c r="G56" s="69">
        <v>41.95599</v>
      </c>
      <c r="H56" s="69">
        <v>93.801102</v>
      </c>
      <c r="I56" s="69">
        <v>25.685095</v>
      </c>
      <c r="J56" s="69">
        <v>62.983001999999999</v>
      </c>
      <c r="K56" s="70">
        <v>54.072479000000001</v>
      </c>
    </row>
    <row r="57" spans="1:11" x14ac:dyDescent="0.2">
      <c r="A57" s="87">
        <v>42217</v>
      </c>
      <c r="B57" s="71">
        <v>85.263596000000007</v>
      </c>
      <c r="C57" s="71">
        <v>49.236198000000002</v>
      </c>
      <c r="D57" s="71">
        <v>25.780000999999999</v>
      </c>
      <c r="E57" s="71">
        <v>99.303061999999997</v>
      </c>
      <c r="F57" s="71">
        <v>14.647195999999999</v>
      </c>
      <c r="G57" s="71">
        <v>39.099013999999997</v>
      </c>
      <c r="H57" s="71">
        <v>89.107787999999999</v>
      </c>
      <c r="I57" s="71">
        <v>23.997747</v>
      </c>
      <c r="J57" s="71">
        <v>56.639194000000003</v>
      </c>
      <c r="K57" s="72">
        <v>52.444015999999998</v>
      </c>
    </row>
    <row r="58" spans="1:11" x14ac:dyDescent="0.2">
      <c r="A58" s="86">
        <v>42248</v>
      </c>
      <c r="B58" s="69">
        <v>88.872421000000003</v>
      </c>
      <c r="C58" s="69">
        <v>51.294125000000001</v>
      </c>
      <c r="D58" s="69">
        <v>24.5</v>
      </c>
      <c r="E58" s="69">
        <v>96.875480999999994</v>
      </c>
      <c r="F58" s="69">
        <v>13.96593</v>
      </c>
      <c r="G58" s="69">
        <v>40.026062000000003</v>
      </c>
      <c r="H58" s="69">
        <v>86.937247999999997</v>
      </c>
      <c r="I58" s="69">
        <v>24.470526</v>
      </c>
      <c r="J58" s="69">
        <v>57.122844999999998</v>
      </c>
      <c r="K58" s="70">
        <v>57.709538000000002</v>
      </c>
    </row>
    <row r="59" spans="1:11" x14ac:dyDescent="0.2">
      <c r="A59" s="87">
        <v>42278</v>
      </c>
      <c r="B59" s="71">
        <v>96.958297999999999</v>
      </c>
      <c r="C59" s="71">
        <v>56.465054000000002</v>
      </c>
      <c r="D59" s="71">
        <v>28.4</v>
      </c>
      <c r="E59" s="71">
        <v>108.15258799999999</v>
      </c>
      <c r="F59" s="71">
        <v>15.09004</v>
      </c>
      <c r="G59" s="71">
        <v>47.604427000000001</v>
      </c>
      <c r="H59" s="71">
        <v>95.493988000000002</v>
      </c>
      <c r="I59" s="71">
        <v>28.806684000000001</v>
      </c>
      <c r="J59" s="71">
        <v>50.427387000000003</v>
      </c>
      <c r="K59" s="72">
        <v>61.648009999999999</v>
      </c>
    </row>
    <row r="60" spans="1:11" x14ac:dyDescent="0.2">
      <c r="A60" s="86">
        <v>42309</v>
      </c>
      <c r="B60" s="69">
        <v>98.018332999999998</v>
      </c>
      <c r="C60" s="69">
        <v>55.400176999999999</v>
      </c>
      <c r="D60" s="69">
        <v>25.92</v>
      </c>
      <c r="E60" s="69">
        <v>108.811058</v>
      </c>
      <c r="F60" s="69">
        <v>15.674576999999999</v>
      </c>
      <c r="G60" s="69">
        <v>49.150852</v>
      </c>
      <c r="H60" s="69">
        <v>94.622962999999999</v>
      </c>
      <c r="I60" s="69">
        <v>29.871151000000001</v>
      </c>
      <c r="J60" s="69">
        <v>51.836959999999998</v>
      </c>
      <c r="K60" s="70">
        <v>62.236122000000002</v>
      </c>
    </row>
    <row r="61" spans="1:11" x14ac:dyDescent="0.2">
      <c r="A61" s="87">
        <v>42339</v>
      </c>
      <c r="B61" s="71">
        <v>95.531775999999994</v>
      </c>
      <c r="C61" s="71">
        <v>54.348274000000004</v>
      </c>
      <c r="D61" s="71">
        <v>24.610001</v>
      </c>
      <c r="E61" s="71">
        <v>106.749756</v>
      </c>
      <c r="F61" s="71">
        <v>15.135001000000001</v>
      </c>
      <c r="G61" s="71">
        <v>50.510928999999997</v>
      </c>
      <c r="H61" s="71">
        <v>94.081817999999998</v>
      </c>
      <c r="I61" s="71">
        <v>28.064033999999999</v>
      </c>
      <c r="J61" s="71">
        <v>54.004168999999997</v>
      </c>
      <c r="K61" s="72">
        <v>58.810963000000001</v>
      </c>
    </row>
    <row r="62" spans="1:11" x14ac:dyDescent="0.2">
      <c r="A62" s="86">
        <v>42370</v>
      </c>
      <c r="B62" s="69">
        <v>96.482512999999997</v>
      </c>
      <c r="C62" s="69">
        <v>55.018237999999997</v>
      </c>
      <c r="D62" s="69">
        <v>23.879999000000002</v>
      </c>
      <c r="E62" s="69">
        <v>99.676383999999999</v>
      </c>
      <c r="F62" s="69">
        <v>12.751720000000001</v>
      </c>
      <c r="G62" s="69">
        <v>50.155861000000002</v>
      </c>
      <c r="H62" s="69">
        <v>86.032302999999999</v>
      </c>
      <c r="I62" s="69">
        <v>24.715638999999999</v>
      </c>
      <c r="J62" s="69">
        <v>58.951625999999997</v>
      </c>
      <c r="K62" s="70">
        <v>58.491337000000001</v>
      </c>
    </row>
    <row r="63" spans="1:11" x14ac:dyDescent="0.2">
      <c r="A63" s="87">
        <v>42401</v>
      </c>
      <c r="B63" s="71">
        <v>91.655640000000005</v>
      </c>
      <c r="C63" s="71">
        <v>52.700527000000001</v>
      </c>
      <c r="D63" s="71">
        <v>21.120000999999998</v>
      </c>
      <c r="E63" s="71">
        <v>98.116089000000002</v>
      </c>
      <c r="F63" s="71">
        <v>11.290775</v>
      </c>
      <c r="G63" s="71">
        <v>46.322926000000002</v>
      </c>
      <c r="H63" s="71">
        <v>84.161689999999993</v>
      </c>
      <c r="I63" s="71">
        <v>24.548863999999998</v>
      </c>
      <c r="J63" s="71">
        <v>58.933849000000002</v>
      </c>
      <c r="K63" s="72">
        <v>58.095160999999997</v>
      </c>
    </row>
    <row r="64" spans="1:11" x14ac:dyDescent="0.2">
      <c r="A64" s="86">
        <v>42430</v>
      </c>
      <c r="B64" s="69">
        <v>105.496323</v>
      </c>
      <c r="C64" s="69">
        <v>54.226143</v>
      </c>
      <c r="D64" s="69">
        <v>25.719999000000001</v>
      </c>
      <c r="E64" s="69">
        <v>104.529518</v>
      </c>
      <c r="F64" s="69">
        <v>12.192595000000001</v>
      </c>
      <c r="G64" s="69">
        <v>50.644351999999998</v>
      </c>
      <c r="H64" s="69">
        <v>91.501143999999996</v>
      </c>
      <c r="I64" s="69">
        <v>26.208254</v>
      </c>
      <c r="J64" s="69">
        <v>60.843842000000002</v>
      </c>
      <c r="K64" s="70">
        <v>57.981976000000003</v>
      </c>
    </row>
    <row r="65" spans="1:11" x14ac:dyDescent="0.2">
      <c r="A65" s="87">
        <v>42461</v>
      </c>
      <c r="B65" s="71">
        <v>103.22914900000001</v>
      </c>
      <c r="C65" s="71">
        <v>51.074309999999997</v>
      </c>
      <c r="D65" s="71">
        <v>24.1</v>
      </c>
      <c r="E65" s="71">
        <v>101.498558</v>
      </c>
      <c r="F65" s="71">
        <v>13.180448</v>
      </c>
      <c r="G65" s="71">
        <v>45.729377999999997</v>
      </c>
      <c r="H65" s="71">
        <v>93.912139999999994</v>
      </c>
      <c r="I65" s="71">
        <v>26.849333000000001</v>
      </c>
      <c r="J65" s="71">
        <v>59.844470999999999</v>
      </c>
      <c r="K65" s="72">
        <v>55.738864999999997</v>
      </c>
    </row>
    <row r="66" spans="1:11" x14ac:dyDescent="0.2">
      <c r="A66" s="86">
        <v>42491</v>
      </c>
      <c r="B66" s="69">
        <v>109.81594800000001</v>
      </c>
      <c r="C66" s="69">
        <v>49.857174000000001</v>
      </c>
      <c r="D66" s="69">
        <v>27.860001</v>
      </c>
      <c r="E66" s="69">
        <v>105.934059</v>
      </c>
      <c r="F66" s="69">
        <v>13.388659000000001</v>
      </c>
      <c r="G66" s="69">
        <v>48.599502999999999</v>
      </c>
      <c r="H66" s="69">
        <v>93.044083000000001</v>
      </c>
      <c r="I66" s="69">
        <v>26.410284000000001</v>
      </c>
      <c r="J66" s="69">
        <v>63.343670000000003</v>
      </c>
      <c r="K66" s="70">
        <v>52.220917</v>
      </c>
    </row>
    <row r="67" spans="1:11" x14ac:dyDescent="0.2">
      <c r="A67" s="87">
        <v>42522</v>
      </c>
      <c r="B67" s="71">
        <v>104.572998</v>
      </c>
      <c r="C67" s="71">
        <v>52.064231999999997</v>
      </c>
      <c r="D67" s="71">
        <v>29.35</v>
      </c>
      <c r="E67" s="71">
        <v>103.245903</v>
      </c>
      <c r="F67" s="71">
        <v>12.012675</v>
      </c>
      <c r="G67" s="71">
        <v>47.249630000000003</v>
      </c>
      <c r="H67" s="71">
        <v>85.437545999999998</v>
      </c>
      <c r="I67" s="71">
        <v>23.894217999999999</v>
      </c>
      <c r="J67" s="71">
        <v>65.826781999999994</v>
      </c>
      <c r="K67" s="72">
        <v>52.202002999999998</v>
      </c>
    </row>
    <row r="68" spans="1:11" x14ac:dyDescent="0.2">
      <c r="A68" s="86">
        <v>42552</v>
      </c>
      <c r="B68" s="69">
        <v>104.129913</v>
      </c>
      <c r="C68" s="69">
        <v>52.911929999999998</v>
      </c>
      <c r="D68" s="69">
        <v>33.409999999999997</v>
      </c>
      <c r="E68" s="69">
        <v>110.9235</v>
      </c>
      <c r="F68" s="69">
        <v>13.161576</v>
      </c>
      <c r="G68" s="69">
        <v>52.337479000000002</v>
      </c>
      <c r="H68" s="69">
        <v>92.403747999999993</v>
      </c>
      <c r="I68" s="69">
        <v>26.968821999999999</v>
      </c>
      <c r="J68" s="69">
        <v>65.781700000000001</v>
      </c>
      <c r="K68" s="70">
        <v>52.639034000000002</v>
      </c>
    </row>
    <row r="69" spans="1:11" x14ac:dyDescent="0.2">
      <c r="A69" s="87">
        <v>42583</v>
      </c>
      <c r="B69" s="71">
        <v>106.15141300000001</v>
      </c>
      <c r="C69" s="71">
        <v>51.253005999999999</v>
      </c>
      <c r="D69" s="71">
        <v>32.159999999999997</v>
      </c>
      <c r="E69" s="71">
        <v>112.088264</v>
      </c>
      <c r="F69" s="71">
        <v>14.660304999999999</v>
      </c>
      <c r="G69" s="71">
        <v>53.057735000000001</v>
      </c>
      <c r="H69" s="71">
        <v>93.954659000000007</v>
      </c>
      <c r="I69" s="71">
        <v>27.293745000000001</v>
      </c>
      <c r="J69" s="71">
        <v>64.402434999999997</v>
      </c>
      <c r="K69" s="72">
        <v>54.668716000000003</v>
      </c>
    </row>
    <row r="70" spans="1:11" x14ac:dyDescent="0.2">
      <c r="A70" s="86">
        <v>42614</v>
      </c>
      <c r="B70" s="69">
        <v>112.76973700000001</v>
      </c>
      <c r="C70" s="69">
        <v>49.519858999999997</v>
      </c>
      <c r="D70" s="69">
        <v>33.209999000000003</v>
      </c>
      <c r="E70" s="69">
        <v>114.28306600000001</v>
      </c>
      <c r="F70" s="69">
        <v>14.281385999999999</v>
      </c>
      <c r="G70" s="69">
        <v>53.518501000000001</v>
      </c>
      <c r="H70" s="69">
        <v>98.952338999999995</v>
      </c>
      <c r="I70" s="69">
        <v>27.165479999999999</v>
      </c>
      <c r="J70" s="69">
        <v>65.460509999999999</v>
      </c>
      <c r="K70" s="70">
        <v>49.935943999999999</v>
      </c>
    </row>
    <row r="71" spans="1:11" x14ac:dyDescent="0.2">
      <c r="A71" s="87">
        <v>42644</v>
      </c>
      <c r="B71" s="71">
        <v>107.296013</v>
      </c>
      <c r="C71" s="71">
        <v>48.541167999999999</v>
      </c>
      <c r="D71" s="71">
        <v>31.33</v>
      </c>
      <c r="E71" s="71">
        <v>112.89986399999999</v>
      </c>
      <c r="F71" s="71">
        <v>15.057054000000001</v>
      </c>
      <c r="G71" s="71">
        <v>55.674103000000002</v>
      </c>
      <c r="H71" s="71">
        <v>104.056984</v>
      </c>
      <c r="I71" s="71">
        <v>27.343615</v>
      </c>
      <c r="J71" s="71">
        <v>63.55442</v>
      </c>
      <c r="K71" s="72">
        <v>47.725746000000001</v>
      </c>
    </row>
    <row r="72" spans="1:11" x14ac:dyDescent="0.2">
      <c r="A72" s="86">
        <v>42675</v>
      </c>
      <c r="B72" s="69">
        <v>111.387321</v>
      </c>
      <c r="C72" s="69">
        <v>53.023021999999997</v>
      </c>
      <c r="D72" s="69">
        <v>29.07</v>
      </c>
      <c r="E72" s="69">
        <v>113.392021</v>
      </c>
      <c r="F72" s="69">
        <v>19.273026999999999</v>
      </c>
      <c r="G72" s="69">
        <v>55.990009000000001</v>
      </c>
      <c r="H72" s="69">
        <v>99.557327000000001</v>
      </c>
      <c r="I72" s="69">
        <v>29.878952000000002</v>
      </c>
      <c r="J72" s="69">
        <v>63.926575</v>
      </c>
      <c r="K72" s="70">
        <v>47.621132000000003</v>
      </c>
    </row>
    <row r="73" spans="1:11" x14ac:dyDescent="0.2">
      <c r="A73" s="87">
        <v>42705</v>
      </c>
      <c r="B73" s="71">
        <v>109.24221</v>
      </c>
      <c r="C73" s="71">
        <v>51.017330000000001</v>
      </c>
      <c r="D73" s="71">
        <v>28.030000999999999</v>
      </c>
      <c r="E73" s="71">
        <v>114.33776899999999</v>
      </c>
      <c r="F73" s="71">
        <v>20.242151</v>
      </c>
      <c r="G73" s="71">
        <v>58.126838999999997</v>
      </c>
      <c r="H73" s="71">
        <v>100.580185</v>
      </c>
      <c r="I73" s="71">
        <v>30.147202</v>
      </c>
      <c r="J73" s="71">
        <v>62.737526000000003</v>
      </c>
      <c r="K73" s="72">
        <v>48.343966999999999</v>
      </c>
    </row>
    <row r="74" spans="1:11" x14ac:dyDescent="0.2">
      <c r="A74" s="86">
        <v>42736</v>
      </c>
      <c r="B74" s="69">
        <v>106.201759</v>
      </c>
      <c r="C74" s="69">
        <v>50.741656999999996</v>
      </c>
      <c r="D74" s="69">
        <v>30.27</v>
      </c>
      <c r="E74" s="69">
        <v>120.570358</v>
      </c>
      <c r="F74" s="69">
        <v>20.736751999999999</v>
      </c>
      <c r="G74" s="69">
        <v>60.474730999999998</v>
      </c>
      <c r="H74" s="69">
        <v>103.580544</v>
      </c>
      <c r="I74" s="69">
        <v>32.022433999999997</v>
      </c>
      <c r="J74" s="69">
        <v>61.010852999999997</v>
      </c>
      <c r="K74" s="70">
        <v>50.494244000000002</v>
      </c>
    </row>
    <row r="75" spans="1:11" x14ac:dyDescent="0.2">
      <c r="A75" s="87">
        <v>42767</v>
      </c>
      <c r="B75" s="71">
        <v>114.25058</v>
      </c>
      <c r="C75" s="71">
        <v>52.257843000000001</v>
      </c>
      <c r="D75" s="71">
        <v>30.959999</v>
      </c>
      <c r="E75" s="71">
        <v>125.845367</v>
      </c>
      <c r="F75" s="71">
        <v>22.605260999999999</v>
      </c>
      <c r="G75" s="71">
        <v>59.848014999999997</v>
      </c>
      <c r="H75" s="71">
        <v>107.82672100000001</v>
      </c>
      <c r="I75" s="71">
        <v>32.223613999999998</v>
      </c>
      <c r="J75" s="71">
        <v>64.841155999999998</v>
      </c>
      <c r="K75" s="72">
        <v>54.560513</v>
      </c>
    </row>
    <row r="76" spans="1:11" x14ac:dyDescent="0.2">
      <c r="A76" s="86">
        <v>42795</v>
      </c>
      <c r="B76" s="69">
        <v>111.807022</v>
      </c>
      <c r="C76" s="69">
        <v>53.896338999999998</v>
      </c>
      <c r="D76" s="69">
        <v>33.729999999999997</v>
      </c>
      <c r="E76" s="69">
        <v>128.12957800000001</v>
      </c>
      <c r="F76" s="69">
        <v>21.60689</v>
      </c>
      <c r="G76" s="69">
        <v>61.980083</v>
      </c>
      <c r="H76" s="69">
        <v>109.788803</v>
      </c>
      <c r="I76" s="69">
        <v>30.929071</v>
      </c>
      <c r="J76" s="69">
        <v>65.892448000000002</v>
      </c>
      <c r="K76" s="70">
        <v>53.195545000000003</v>
      </c>
    </row>
    <row r="77" spans="1:11" x14ac:dyDescent="0.2">
      <c r="A77" s="87">
        <v>42826</v>
      </c>
      <c r="B77" s="71">
        <v>113.131401</v>
      </c>
      <c r="C77" s="71">
        <v>55.437820000000002</v>
      </c>
      <c r="D77" s="71">
        <v>34.520000000000003</v>
      </c>
      <c r="E77" s="71">
        <v>131.89746099999999</v>
      </c>
      <c r="F77" s="71">
        <v>21.443069000000001</v>
      </c>
      <c r="G77" s="71">
        <v>64.426910000000007</v>
      </c>
      <c r="H77" s="71">
        <v>113.547012</v>
      </c>
      <c r="I77" s="71">
        <v>30.609300999999999</v>
      </c>
      <c r="J77" s="71">
        <v>69.231682000000006</v>
      </c>
      <c r="K77" s="72">
        <v>53.054893</v>
      </c>
    </row>
    <row r="78" spans="1:11" x14ac:dyDescent="0.2">
      <c r="A78" s="86">
        <v>42856</v>
      </c>
      <c r="B78" s="69">
        <v>117.292297</v>
      </c>
      <c r="C78" s="69">
        <v>58.714610999999998</v>
      </c>
      <c r="D78" s="69">
        <v>36.619999</v>
      </c>
      <c r="E78" s="69">
        <v>137.03797900000001</v>
      </c>
      <c r="F78" s="69">
        <v>20.588654999999999</v>
      </c>
      <c r="G78" s="69">
        <v>65.725600999999997</v>
      </c>
      <c r="H78" s="69">
        <v>120.18652299999999</v>
      </c>
      <c r="I78" s="69">
        <v>29.981922000000001</v>
      </c>
      <c r="J78" s="69">
        <v>72.381095999999999</v>
      </c>
      <c r="K78" s="70">
        <v>50.737746999999999</v>
      </c>
    </row>
    <row r="79" spans="1:11" x14ac:dyDescent="0.2">
      <c r="A79" s="87">
        <v>42887</v>
      </c>
      <c r="B79" s="71">
        <v>116.547836</v>
      </c>
      <c r="C79" s="71">
        <v>54.044209000000002</v>
      </c>
      <c r="D79" s="71">
        <v>38.189999</v>
      </c>
      <c r="E79" s="71">
        <v>133.497803</v>
      </c>
      <c r="F79" s="71">
        <v>22.361502000000002</v>
      </c>
      <c r="G79" s="71">
        <v>65.241043000000005</v>
      </c>
      <c r="H79" s="71">
        <v>118.787865</v>
      </c>
      <c r="I79" s="71">
        <v>30.865555000000001</v>
      </c>
      <c r="J79" s="71">
        <v>70.158507999999998</v>
      </c>
      <c r="K79" s="72">
        <v>56.492305999999999</v>
      </c>
    </row>
    <row r="80" spans="1:11" x14ac:dyDescent="0.2">
      <c r="A80" s="86">
        <v>42917</v>
      </c>
      <c r="B80" s="69">
        <v>121.39144899999999</v>
      </c>
      <c r="C80" s="69">
        <v>50.030982999999999</v>
      </c>
      <c r="D80" s="69">
        <v>41.07</v>
      </c>
      <c r="E80" s="69">
        <v>139.298035</v>
      </c>
      <c r="F80" s="69">
        <v>22.232462000000002</v>
      </c>
      <c r="G80" s="69">
        <v>68.809287999999995</v>
      </c>
      <c r="H80" s="69">
        <v>124.998665</v>
      </c>
      <c r="I80" s="69">
        <v>32.148197000000003</v>
      </c>
      <c r="J80" s="69">
        <v>74.154053000000005</v>
      </c>
      <c r="K80" s="70">
        <v>56.732891000000002</v>
      </c>
    </row>
    <row r="81" spans="1:11" x14ac:dyDescent="0.2">
      <c r="A81" s="87">
        <v>42948</v>
      </c>
      <c r="B81" s="71">
        <v>123.219551</v>
      </c>
      <c r="C81" s="71">
        <v>50.846600000000002</v>
      </c>
      <c r="D81" s="71">
        <v>39.630001</v>
      </c>
      <c r="E81" s="71">
        <v>142.186508</v>
      </c>
      <c r="F81" s="71">
        <v>22.020455999999999</v>
      </c>
      <c r="G81" s="71">
        <v>70.768508999999995</v>
      </c>
      <c r="H81" s="71">
        <v>130.61604299999999</v>
      </c>
      <c r="I81" s="71">
        <v>32.648555999999999</v>
      </c>
      <c r="J81" s="71">
        <v>72.374138000000002</v>
      </c>
      <c r="K81" s="72">
        <v>50.737746999999999</v>
      </c>
    </row>
    <row r="82" spans="1:11" x14ac:dyDescent="0.2">
      <c r="A82" s="86">
        <v>42979</v>
      </c>
      <c r="B82" s="69">
        <v>127.281036</v>
      </c>
      <c r="C82" s="69">
        <v>50.005446999999997</v>
      </c>
      <c r="D82" s="69">
        <v>37.340000000000003</v>
      </c>
      <c r="E82" s="69">
        <v>141.45706200000001</v>
      </c>
      <c r="F82" s="69">
        <v>23.476458000000001</v>
      </c>
      <c r="G82" s="69">
        <v>70.879135000000005</v>
      </c>
      <c r="H82" s="69">
        <v>138.356964</v>
      </c>
      <c r="I82" s="69">
        <v>36.079600999999997</v>
      </c>
      <c r="J82" s="69">
        <v>72.894676000000004</v>
      </c>
      <c r="K82" s="70">
        <v>49.986603000000002</v>
      </c>
    </row>
    <row r="83" spans="1:11" x14ac:dyDescent="0.2">
      <c r="A83" s="87">
        <v>43009</v>
      </c>
      <c r="B83" s="71">
        <v>134.15065000000001</v>
      </c>
      <c r="C83" s="71">
        <v>51.057510000000001</v>
      </c>
      <c r="D83" s="71">
        <v>43.41</v>
      </c>
      <c r="E83" s="71">
        <v>148.297043</v>
      </c>
      <c r="F83" s="71">
        <v>25.375698</v>
      </c>
      <c r="G83" s="71">
        <v>79.147880999999998</v>
      </c>
      <c r="H83" s="71">
        <v>145.77453600000001</v>
      </c>
      <c r="I83" s="71">
        <v>38.794047999999997</v>
      </c>
      <c r="J83" s="71">
        <v>81.449112</v>
      </c>
      <c r="K83" s="72">
        <v>53.013751999999997</v>
      </c>
    </row>
    <row r="84" spans="1:11" x14ac:dyDescent="0.2">
      <c r="A84" s="86">
        <v>43040</v>
      </c>
      <c r="B84" s="69">
        <v>140.825684</v>
      </c>
      <c r="C84" s="69">
        <v>53.831969999999998</v>
      </c>
      <c r="D84" s="69">
        <v>46.799999</v>
      </c>
      <c r="E84" s="69">
        <v>151.221069</v>
      </c>
      <c r="F84" s="69">
        <v>26.098337000000001</v>
      </c>
      <c r="G84" s="69">
        <v>80.089889999999997</v>
      </c>
      <c r="H84" s="69">
        <v>147.668961</v>
      </c>
      <c r="I84" s="69">
        <v>38.893332999999998</v>
      </c>
      <c r="J84" s="69">
        <v>90.703224000000006</v>
      </c>
      <c r="K84" s="70">
        <v>58.248610999999997</v>
      </c>
    </row>
    <row r="85" spans="1:11" x14ac:dyDescent="0.2">
      <c r="A85" s="87">
        <v>43070</v>
      </c>
      <c r="B85" s="71">
        <v>145.65913399999999</v>
      </c>
      <c r="C85" s="71">
        <v>53.752124999999999</v>
      </c>
      <c r="D85" s="71">
        <v>44.950001</v>
      </c>
      <c r="E85" s="71">
        <v>151.81564299999999</v>
      </c>
      <c r="F85" s="71">
        <v>27.465596999999999</v>
      </c>
      <c r="G85" s="71">
        <v>81.802261000000001</v>
      </c>
      <c r="H85" s="71">
        <v>148.542374</v>
      </c>
      <c r="I85" s="71">
        <v>36.997860000000003</v>
      </c>
      <c r="J85" s="71">
        <v>92.121178</v>
      </c>
      <c r="K85" s="72">
        <v>60.302067000000001</v>
      </c>
    </row>
    <row r="86" spans="1:11" x14ac:dyDescent="0.2">
      <c r="A86" s="86">
        <v>43101</v>
      </c>
      <c r="B86" s="69">
        <v>152.899734</v>
      </c>
      <c r="C86" s="69">
        <v>53.171841000000001</v>
      </c>
      <c r="D86" s="69">
        <v>47.939999</v>
      </c>
      <c r="E86" s="69">
        <v>165.455521</v>
      </c>
      <c r="F86" s="69">
        <v>29.773008000000001</v>
      </c>
      <c r="G86" s="69">
        <v>90.858444000000006</v>
      </c>
      <c r="H86" s="69">
        <v>165.854004</v>
      </c>
      <c r="I86" s="69">
        <v>38.627808000000002</v>
      </c>
      <c r="J86" s="69">
        <v>99.968306999999996</v>
      </c>
      <c r="K86" s="70">
        <v>65.986725000000007</v>
      </c>
    </row>
    <row r="87" spans="1:11" x14ac:dyDescent="0.2">
      <c r="A87" s="87">
        <v>43132</v>
      </c>
      <c r="B87" s="71">
        <v>153.194672</v>
      </c>
      <c r="C87" s="71">
        <v>53.443263999999999</v>
      </c>
      <c r="D87" s="71">
        <v>50.459999000000003</v>
      </c>
      <c r="E87" s="71">
        <v>163.31652800000001</v>
      </c>
      <c r="F87" s="71">
        <v>29.866045</v>
      </c>
      <c r="G87" s="71">
        <v>89.672646</v>
      </c>
      <c r="H87" s="71">
        <v>172.75975</v>
      </c>
      <c r="I87" s="71">
        <v>35.840702</v>
      </c>
      <c r="J87" s="71">
        <v>84.410392999999999</v>
      </c>
      <c r="K87" s="72">
        <v>64.835678000000001</v>
      </c>
    </row>
    <row r="88" spans="1:11" x14ac:dyDescent="0.2">
      <c r="A88" s="86">
        <v>43160</v>
      </c>
      <c r="B88" s="69">
        <v>146.04920999999999</v>
      </c>
      <c r="C88" s="69">
        <v>54.476546999999997</v>
      </c>
      <c r="D88" s="69">
        <v>48.34</v>
      </c>
      <c r="E88" s="69">
        <v>156.40136699999999</v>
      </c>
      <c r="F88" s="69">
        <v>27.902888999999998</v>
      </c>
      <c r="G88" s="69">
        <v>87.691879</v>
      </c>
      <c r="H88" s="69">
        <v>172.17001300000001</v>
      </c>
      <c r="I88" s="69">
        <v>33.099139999999998</v>
      </c>
      <c r="J88" s="69">
        <v>83.435096999999999</v>
      </c>
      <c r="K88" s="70">
        <v>64.264999000000003</v>
      </c>
    </row>
    <row r="89" spans="1:11" x14ac:dyDescent="0.2">
      <c r="A89" s="87">
        <v>43191</v>
      </c>
      <c r="B89" s="71">
        <v>143.86085499999999</v>
      </c>
      <c r="C89" s="71">
        <v>54.175426000000002</v>
      </c>
      <c r="D89" s="71">
        <v>45.830002</v>
      </c>
      <c r="E89" s="71">
        <v>157.44752500000001</v>
      </c>
      <c r="F89" s="71">
        <v>27.942219000000001</v>
      </c>
      <c r="G89" s="71">
        <v>89.853652999999994</v>
      </c>
      <c r="H89" s="71">
        <v>175.226944</v>
      </c>
      <c r="I89" s="71">
        <v>33.803837000000001</v>
      </c>
      <c r="J89" s="71">
        <v>83.451408000000001</v>
      </c>
      <c r="K89" s="72">
        <v>66.351257000000004</v>
      </c>
    </row>
    <row r="90" spans="1:11" x14ac:dyDescent="0.2">
      <c r="A90" s="86">
        <v>43221</v>
      </c>
      <c r="B90" s="69">
        <v>149.48808299999999</v>
      </c>
      <c r="C90" s="69">
        <v>53.328487000000003</v>
      </c>
      <c r="D90" s="69">
        <v>47.09</v>
      </c>
      <c r="E90" s="69">
        <v>166.379379</v>
      </c>
      <c r="F90" s="69">
        <v>27.12039</v>
      </c>
      <c r="G90" s="69">
        <v>94.965102999999999</v>
      </c>
      <c r="H90" s="69">
        <v>187.140747</v>
      </c>
      <c r="I90" s="69">
        <v>39.287520999999998</v>
      </c>
      <c r="J90" s="69">
        <v>77.866591999999997</v>
      </c>
      <c r="K90" s="70">
        <v>69.659583999999995</v>
      </c>
    </row>
    <row r="91" spans="1:11" x14ac:dyDescent="0.2">
      <c r="A91" s="87">
        <v>43252</v>
      </c>
      <c r="B91" s="71">
        <v>157.02297999999999</v>
      </c>
      <c r="C91" s="71">
        <v>46.209969000000001</v>
      </c>
      <c r="D91" s="71">
        <v>51.259998000000003</v>
      </c>
      <c r="E91" s="71">
        <v>167.925095</v>
      </c>
      <c r="F91" s="71">
        <v>26.434141</v>
      </c>
      <c r="G91" s="71">
        <v>95.154777999999993</v>
      </c>
      <c r="H91" s="71">
        <v>193.44047499999999</v>
      </c>
      <c r="I91" s="71">
        <v>36.251255</v>
      </c>
      <c r="J91" s="71">
        <v>81.309555000000003</v>
      </c>
      <c r="K91" s="72">
        <v>77.304680000000005</v>
      </c>
    </row>
    <row r="92" spans="1:11" x14ac:dyDescent="0.2">
      <c r="A92" s="86">
        <v>43282</v>
      </c>
      <c r="B92" s="69">
        <v>152.93396000000001</v>
      </c>
      <c r="C92" s="69">
        <v>49.558666000000002</v>
      </c>
      <c r="D92" s="69">
        <v>54.02</v>
      </c>
      <c r="E92" s="69">
        <v>172.99040199999999</v>
      </c>
      <c r="F92" s="69">
        <v>28.956591</v>
      </c>
      <c r="G92" s="69">
        <v>102.36303700000001</v>
      </c>
      <c r="H92" s="69">
        <v>194.897278</v>
      </c>
      <c r="I92" s="69">
        <v>35.184685000000002</v>
      </c>
      <c r="J92" s="69">
        <v>84.708129999999997</v>
      </c>
      <c r="K92" s="70">
        <v>74.825699</v>
      </c>
    </row>
    <row r="93" spans="1:11" x14ac:dyDescent="0.2">
      <c r="A93" s="87">
        <v>43313</v>
      </c>
      <c r="B93" s="71">
        <v>162.282974</v>
      </c>
      <c r="C93" s="71">
        <v>50.561374999999998</v>
      </c>
      <c r="D93" s="71">
        <v>56.830002</v>
      </c>
      <c r="E93" s="71">
        <v>182.990433</v>
      </c>
      <c r="F93" s="71">
        <v>29.003477</v>
      </c>
      <c r="G93" s="71">
        <v>108.39402800000001</v>
      </c>
      <c r="H93" s="71">
        <v>212.449173</v>
      </c>
      <c r="I93" s="71">
        <v>33.458393000000001</v>
      </c>
      <c r="J93" s="71">
        <v>91.002144000000001</v>
      </c>
      <c r="K93" s="72">
        <v>79.972328000000005</v>
      </c>
    </row>
    <row r="94" spans="1:11" x14ac:dyDescent="0.2">
      <c r="A94" s="86">
        <v>43344</v>
      </c>
      <c r="B94" s="69">
        <v>163.36759900000001</v>
      </c>
      <c r="C94" s="69">
        <v>54.142493999999999</v>
      </c>
      <c r="D94" s="69">
        <v>60.650002000000001</v>
      </c>
      <c r="E94" s="69">
        <v>182.147278</v>
      </c>
      <c r="F94" s="69">
        <v>27.625036000000001</v>
      </c>
      <c r="G94" s="69">
        <v>110.787262</v>
      </c>
      <c r="H94" s="69">
        <v>219.3974</v>
      </c>
      <c r="I94" s="69">
        <v>31.249489000000001</v>
      </c>
      <c r="J94" s="69">
        <v>89.668762000000001</v>
      </c>
      <c r="K94" s="70">
        <v>82.627044999999995</v>
      </c>
    </row>
    <row r="95" spans="1:11" x14ac:dyDescent="0.2">
      <c r="A95" s="87">
        <v>43374</v>
      </c>
      <c r="B95" s="71">
        <v>151.29260300000001</v>
      </c>
      <c r="C95" s="71">
        <v>55.504631000000003</v>
      </c>
      <c r="D95" s="71">
        <v>54.130001</v>
      </c>
      <c r="E95" s="71">
        <v>166.79002399999999</v>
      </c>
      <c r="F95" s="71">
        <v>25.911776</v>
      </c>
      <c r="G95" s="71">
        <v>103.46408099999999</v>
      </c>
      <c r="H95" s="71">
        <v>194.81733700000001</v>
      </c>
      <c r="I95" s="71">
        <v>34.329227000000003</v>
      </c>
      <c r="J95" s="71">
        <v>95.751068000000004</v>
      </c>
      <c r="K95" s="72">
        <v>73.186194999999998</v>
      </c>
    </row>
    <row r="96" spans="1:11" x14ac:dyDescent="0.2">
      <c r="A96" s="86">
        <v>43405</v>
      </c>
      <c r="B96" s="69">
        <v>159.358948</v>
      </c>
      <c r="C96" s="69">
        <v>63.553618999999998</v>
      </c>
      <c r="D96" s="69">
        <v>52.82</v>
      </c>
      <c r="E96" s="69">
        <v>166.34805299999999</v>
      </c>
      <c r="F96" s="69">
        <v>26.759796000000001</v>
      </c>
      <c r="G96" s="69">
        <v>107.41629</v>
      </c>
      <c r="H96" s="69">
        <v>198.397751</v>
      </c>
      <c r="I96" s="69">
        <v>35.605201999999998</v>
      </c>
      <c r="J96" s="69">
        <v>93.239861000000005</v>
      </c>
      <c r="K96" s="70">
        <v>73.264229</v>
      </c>
    </row>
    <row r="97" spans="1:11" x14ac:dyDescent="0.2">
      <c r="A97" s="87">
        <v>43435</v>
      </c>
      <c r="B97" s="71">
        <v>136.586456</v>
      </c>
      <c r="C97" s="71">
        <v>61.673079999999999</v>
      </c>
      <c r="D97" s="71">
        <v>48.279998999999997</v>
      </c>
      <c r="E97" s="71">
        <v>151.507645</v>
      </c>
      <c r="F97" s="71">
        <v>23.216949</v>
      </c>
      <c r="G97" s="71">
        <v>98.813277999999997</v>
      </c>
      <c r="H97" s="71">
        <v>186.14279199999999</v>
      </c>
      <c r="I97" s="71">
        <v>31.383244000000001</v>
      </c>
      <c r="J97" s="71">
        <v>88.943084999999996</v>
      </c>
      <c r="K97" s="72">
        <v>72.523048000000003</v>
      </c>
    </row>
    <row r="98" spans="1:11" x14ac:dyDescent="0.2">
      <c r="A98" s="86">
        <v>43466</v>
      </c>
      <c r="B98" s="69">
        <v>148.73306299999999</v>
      </c>
      <c r="C98" s="69">
        <v>65.254715000000004</v>
      </c>
      <c r="D98" s="69">
        <v>50.119999</v>
      </c>
      <c r="E98" s="69">
        <v>165.632172</v>
      </c>
      <c r="F98" s="69">
        <v>26.975671999999999</v>
      </c>
      <c r="G98" s="69">
        <v>101.595657</v>
      </c>
      <c r="H98" s="69">
        <v>208.324051</v>
      </c>
      <c r="I98" s="69">
        <v>36.994022000000001</v>
      </c>
      <c r="J98" s="69">
        <v>92.001373000000001</v>
      </c>
      <c r="K98" s="70">
        <v>80.094230999999994</v>
      </c>
    </row>
    <row r="99" spans="1:11" x14ac:dyDescent="0.2">
      <c r="A99" s="87">
        <v>43497</v>
      </c>
      <c r="B99" s="71">
        <v>156.317429</v>
      </c>
      <c r="C99" s="71">
        <v>67.284949999999995</v>
      </c>
      <c r="D99" s="71">
        <v>47.990001999999997</v>
      </c>
      <c r="E99" s="71">
        <v>170.58654799999999</v>
      </c>
      <c r="F99" s="71">
        <v>27.553654000000002</v>
      </c>
      <c r="G99" s="71">
        <v>108.98938800000001</v>
      </c>
      <c r="H99" s="71">
        <v>222.16613799999999</v>
      </c>
      <c r="I99" s="71">
        <v>37.430137999999999</v>
      </c>
      <c r="J99" s="71">
        <v>95.035126000000005</v>
      </c>
      <c r="K99" s="72">
        <v>83.860291000000004</v>
      </c>
    </row>
    <row r="100" spans="1:11" x14ac:dyDescent="0.2">
      <c r="A100" s="86">
        <v>43525</v>
      </c>
      <c r="B100" s="69">
        <v>170.49818400000001</v>
      </c>
      <c r="C100" s="69">
        <v>71.563727999999998</v>
      </c>
      <c r="D100" s="69">
        <v>42.240001999999997</v>
      </c>
      <c r="E100" s="69">
        <v>176.95927399999999</v>
      </c>
      <c r="F100" s="69">
        <v>26.27533</v>
      </c>
      <c r="G100" s="69">
        <v>115.228996</v>
      </c>
      <c r="H100" s="69">
        <v>232.72241199999999</v>
      </c>
      <c r="I100" s="69">
        <v>35.17371</v>
      </c>
      <c r="J100" s="69">
        <v>93.633453000000003</v>
      </c>
      <c r="K100" s="70">
        <v>82.373420999999993</v>
      </c>
    </row>
    <row r="101" spans="1:11" x14ac:dyDescent="0.2">
      <c r="A101" s="87">
        <v>43556</v>
      </c>
      <c r="B101" s="71">
        <v>176.93957499999999</v>
      </c>
      <c r="C101" s="71">
        <v>74.778992000000002</v>
      </c>
      <c r="D101" s="71">
        <v>50.369999</v>
      </c>
      <c r="E101" s="71">
        <v>187.03053299999999</v>
      </c>
      <c r="F101" s="71">
        <v>29.122855999999999</v>
      </c>
      <c r="G101" s="71">
        <v>127.598007</v>
      </c>
      <c r="H101" s="71">
        <v>251.29478499999999</v>
      </c>
      <c r="I101" s="71">
        <v>37.294139999999999</v>
      </c>
      <c r="J101" s="71">
        <v>99.262557999999999</v>
      </c>
      <c r="K101" s="72">
        <v>86.135520999999997</v>
      </c>
    </row>
    <row r="102" spans="1:11" x14ac:dyDescent="0.2">
      <c r="A102" s="86">
        <v>43586</v>
      </c>
      <c r="B102" s="69">
        <v>173.912521</v>
      </c>
      <c r="C102" s="69">
        <v>73.219504999999998</v>
      </c>
      <c r="D102" s="69">
        <v>48</v>
      </c>
      <c r="E102" s="69">
        <v>171.646942</v>
      </c>
      <c r="F102" s="69">
        <v>25.332502000000002</v>
      </c>
      <c r="G102" s="69">
        <v>120.837059</v>
      </c>
      <c r="H102" s="69">
        <v>248.92375200000001</v>
      </c>
      <c r="I102" s="69">
        <v>31.922632</v>
      </c>
      <c r="J102" s="69">
        <v>97.911254999999997</v>
      </c>
      <c r="K102" s="70">
        <v>75.651748999999995</v>
      </c>
    </row>
    <row r="103" spans="1:11" x14ac:dyDescent="0.2">
      <c r="A103" s="87">
        <v>43617</v>
      </c>
      <c r="B103" s="71">
        <v>180.45609999999999</v>
      </c>
      <c r="C103" s="71">
        <v>81.073700000000002</v>
      </c>
      <c r="D103" s="71">
        <v>52.389999000000003</v>
      </c>
      <c r="E103" s="71">
        <v>184.26759300000001</v>
      </c>
      <c r="F103" s="71">
        <v>27.618141000000001</v>
      </c>
      <c r="G103" s="71">
        <v>131.36523399999999</v>
      </c>
      <c r="H103" s="71">
        <v>261.83071899999999</v>
      </c>
      <c r="I103" s="71">
        <v>36.891990999999997</v>
      </c>
      <c r="J103" s="71">
        <v>107.21296700000001</v>
      </c>
      <c r="K103" s="72">
        <v>82.559532000000004</v>
      </c>
    </row>
    <row r="104" spans="1:11" x14ac:dyDescent="0.2">
      <c r="A104" s="86">
        <v>43647</v>
      </c>
      <c r="B104" s="69">
        <v>188.08374000000001</v>
      </c>
      <c r="C104" s="69">
        <v>91.576622</v>
      </c>
      <c r="D104" s="69">
        <v>56.860000999999997</v>
      </c>
      <c r="E104" s="69">
        <v>188.986816</v>
      </c>
      <c r="F104" s="69">
        <v>29.375966999999999</v>
      </c>
      <c r="G104" s="69">
        <v>133.630493</v>
      </c>
      <c r="H104" s="69">
        <v>269.49176</v>
      </c>
      <c r="I104" s="69">
        <v>39.038960000000003</v>
      </c>
      <c r="J104" s="69">
        <v>107.106216</v>
      </c>
      <c r="K104" s="70">
        <v>84.605086999999997</v>
      </c>
    </row>
    <row r="105" spans="1:11" x14ac:dyDescent="0.2">
      <c r="A105" s="87">
        <v>43678</v>
      </c>
      <c r="B105" s="71">
        <v>193.54321300000001</v>
      </c>
      <c r="C105" s="71">
        <v>93.385138999999995</v>
      </c>
      <c r="D105" s="71">
        <v>56.91</v>
      </c>
      <c r="E105" s="71">
        <v>185.396942</v>
      </c>
      <c r="F105" s="71">
        <v>26.340707999999999</v>
      </c>
      <c r="G105" s="71">
        <v>135.189682</v>
      </c>
      <c r="H105" s="71">
        <v>278.83700599999997</v>
      </c>
      <c r="I105" s="71">
        <v>35.89378</v>
      </c>
      <c r="J105" s="71">
        <v>110.871162</v>
      </c>
      <c r="K105" s="72">
        <v>83.100425999999999</v>
      </c>
    </row>
    <row r="106" spans="1:11" x14ac:dyDescent="0.2">
      <c r="A106" s="86">
        <v>43709</v>
      </c>
      <c r="B106" s="69">
        <v>187.859116</v>
      </c>
      <c r="C106" s="69">
        <v>85.836899000000003</v>
      </c>
      <c r="D106" s="69">
        <v>59.130001</v>
      </c>
      <c r="E106" s="69">
        <v>186.72212200000001</v>
      </c>
      <c r="F106" s="69">
        <v>27.930149</v>
      </c>
      <c r="G106" s="69">
        <v>136.791</v>
      </c>
      <c r="H106" s="69">
        <v>269.12521400000003</v>
      </c>
      <c r="I106" s="69">
        <v>36.271202000000002</v>
      </c>
      <c r="J106" s="69">
        <v>115.726929</v>
      </c>
      <c r="K106" s="70">
        <v>92.603003999999999</v>
      </c>
    </row>
    <row r="107" spans="1:11" x14ac:dyDescent="0.2">
      <c r="A107" s="87">
        <v>43739</v>
      </c>
      <c r="B107" s="71">
        <v>181.090912</v>
      </c>
      <c r="C107" s="71">
        <v>82.089661000000007</v>
      </c>
      <c r="D107" s="71">
        <v>60.830002</v>
      </c>
      <c r="E107" s="71">
        <v>195.293701</v>
      </c>
      <c r="F107" s="71">
        <v>30.138228999999999</v>
      </c>
      <c r="G107" s="71">
        <v>141.06111100000001</v>
      </c>
      <c r="H107" s="71">
        <v>274.31805400000002</v>
      </c>
      <c r="I107" s="71">
        <v>36.322463999999997</v>
      </c>
      <c r="J107" s="71">
        <v>114.34226200000001</v>
      </c>
      <c r="K107" s="72">
        <v>88.294289000000006</v>
      </c>
    </row>
    <row r="108" spans="1:11" x14ac:dyDescent="0.2">
      <c r="A108" s="86">
        <v>43770</v>
      </c>
      <c r="B108" s="69">
        <v>197.307526</v>
      </c>
      <c r="C108" s="69">
        <v>82.934241999999998</v>
      </c>
      <c r="D108" s="69">
        <v>63.48</v>
      </c>
      <c r="E108" s="69">
        <v>203.24101300000001</v>
      </c>
      <c r="F108" s="69">
        <v>32.114029000000002</v>
      </c>
      <c r="G108" s="69">
        <v>148.94212300000001</v>
      </c>
      <c r="H108" s="69">
        <v>289.95074499999998</v>
      </c>
      <c r="I108" s="69">
        <v>35.188609999999997</v>
      </c>
      <c r="J108" s="69">
        <v>116.126724</v>
      </c>
      <c r="K108" s="70">
        <v>92.179030999999995</v>
      </c>
    </row>
    <row r="109" spans="1:11" x14ac:dyDescent="0.2">
      <c r="A109" s="87">
        <v>43800</v>
      </c>
      <c r="B109" s="71">
        <v>206.537308</v>
      </c>
      <c r="C109" s="71">
        <v>85.778144999999995</v>
      </c>
      <c r="D109" s="71">
        <v>68</v>
      </c>
      <c r="E109" s="71">
        <v>210.68293800000001</v>
      </c>
      <c r="F109" s="71">
        <v>33.945270999999998</v>
      </c>
      <c r="G109" s="71">
        <v>155.68832399999999</v>
      </c>
      <c r="H109" s="71">
        <v>296.26113900000001</v>
      </c>
      <c r="I109" s="71">
        <v>35.775084999999997</v>
      </c>
      <c r="J109" s="71">
        <v>115.882935</v>
      </c>
      <c r="K109" s="72">
        <v>100.15001700000001</v>
      </c>
    </row>
    <row r="110" spans="1:11" x14ac:dyDescent="0.2">
      <c r="A110" s="86">
        <v>43831</v>
      </c>
      <c r="B110" s="69">
        <v>201.279968</v>
      </c>
      <c r="C110" s="69">
        <v>82.763428000000005</v>
      </c>
      <c r="D110" s="69">
        <v>70.180000000000007</v>
      </c>
      <c r="E110" s="69">
        <v>217.55505400000001</v>
      </c>
      <c r="F110" s="69">
        <v>31.814520000000002</v>
      </c>
      <c r="G110" s="69">
        <v>168.05847199999999</v>
      </c>
      <c r="H110" s="69">
        <v>313.47579999999999</v>
      </c>
      <c r="I110" s="69">
        <v>32.987583000000001</v>
      </c>
      <c r="J110" s="69">
        <v>112.141937</v>
      </c>
      <c r="K110" s="70">
        <v>95.197395</v>
      </c>
    </row>
    <row r="111" spans="1:11" x14ac:dyDescent="0.2">
      <c r="A111" s="87">
        <v>43862</v>
      </c>
      <c r="B111" s="71">
        <v>177.81625399999999</v>
      </c>
      <c r="C111" s="71">
        <v>76.519340999999997</v>
      </c>
      <c r="D111" s="71">
        <v>62.200001</v>
      </c>
      <c r="E111" s="71">
        <v>204.37681599999999</v>
      </c>
      <c r="F111" s="71">
        <v>27.618452000000001</v>
      </c>
      <c r="G111" s="71">
        <v>159.943344</v>
      </c>
      <c r="H111" s="71">
        <v>288.37042200000002</v>
      </c>
      <c r="I111" s="71">
        <v>30.132414000000001</v>
      </c>
      <c r="J111" s="71">
        <v>105.471603</v>
      </c>
      <c r="K111" s="72">
        <v>88.356628000000001</v>
      </c>
    </row>
    <row r="112" spans="1:11" x14ac:dyDescent="0.2">
      <c r="A112" s="86">
        <v>43891</v>
      </c>
      <c r="B112" s="69">
        <v>160.75242600000001</v>
      </c>
      <c r="C112" s="69">
        <v>64.437415999999999</v>
      </c>
      <c r="D112" s="69">
        <v>59.18</v>
      </c>
      <c r="E112" s="69">
        <v>189.083313</v>
      </c>
      <c r="F112" s="69">
        <v>20.573322000000001</v>
      </c>
      <c r="G112" s="69">
        <v>156.12347399999999</v>
      </c>
      <c r="H112" s="69">
        <v>239.99572800000001</v>
      </c>
      <c r="I112" s="69">
        <v>20.52956</v>
      </c>
      <c r="J112" s="69">
        <v>111.289787</v>
      </c>
      <c r="K112" s="70">
        <v>82.019585000000006</v>
      </c>
    </row>
    <row r="113" spans="1:11" x14ac:dyDescent="0.2">
      <c r="A113" s="87">
        <v>43922</v>
      </c>
      <c r="B113" s="71">
        <v>182.34561199999999</v>
      </c>
      <c r="C113" s="71">
        <v>75.209655999999995</v>
      </c>
      <c r="D113" s="71">
        <v>64.25</v>
      </c>
      <c r="E113" s="71">
        <v>217.85943599999999</v>
      </c>
      <c r="F113" s="71">
        <v>23.454805</v>
      </c>
      <c r="G113" s="71">
        <v>177.407196</v>
      </c>
      <c r="H113" s="71">
        <v>273.189392</v>
      </c>
      <c r="I113" s="71">
        <v>22.290001</v>
      </c>
      <c r="J113" s="71">
        <v>119.58395400000001</v>
      </c>
      <c r="K113" s="72">
        <v>86.420921000000007</v>
      </c>
    </row>
    <row r="114" spans="1:11" x14ac:dyDescent="0.2">
      <c r="A114" s="86">
        <v>43952</v>
      </c>
      <c r="B114" s="69">
        <v>199.419006</v>
      </c>
      <c r="C114" s="69">
        <v>76.444687000000002</v>
      </c>
      <c r="D114" s="69">
        <v>64.760002</v>
      </c>
      <c r="E114" s="69">
        <v>232.24009699999999</v>
      </c>
      <c r="F114" s="69">
        <v>23.523074999999999</v>
      </c>
      <c r="G114" s="69">
        <v>181.40654000000001</v>
      </c>
      <c r="H114" s="69">
        <v>299.40380900000002</v>
      </c>
      <c r="I114" s="69">
        <v>25.879999000000002</v>
      </c>
      <c r="J114" s="69">
        <v>122.05334499999999</v>
      </c>
      <c r="K114" s="70">
        <v>97.721664000000004</v>
      </c>
    </row>
    <row r="115" spans="1:11" x14ac:dyDescent="0.2">
      <c r="A115" s="87">
        <v>43983</v>
      </c>
      <c r="B115" s="71">
        <v>212.37600699999999</v>
      </c>
      <c r="C115" s="71">
        <v>72.539505000000005</v>
      </c>
      <c r="D115" s="71">
        <v>69.129997000000003</v>
      </c>
      <c r="E115" s="71">
        <v>246.41175799999999</v>
      </c>
      <c r="F115" s="71">
        <v>23.162230999999998</v>
      </c>
      <c r="G115" s="71">
        <v>202.023819</v>
      </c>
      <c r="H115" s="71">
        <v>294.23947099999998</v>
      </c>
      <c r="I115" s="71">
        <v>25.299999</v>
      </c>
      <c r="J115" s="71">
        <v>118.36095400000001</v>
      </c>
      <c r="K115" s="72">
        <v>97.438736000000006</v>
      </c>
    </row>
    <row r="116" spans="1:11" x14ac:dyDescent="0.2">
      <c r="A116" s="86">
        <v>44013</v>
      </c>
      <c r="B116" s="69">
        <v>222.326187</v>
      </c>
      <c r="C116" s="69">
        <v>75.437538000000004</v>
      </c>
      <c r="D116" s="69">
        <v>77.959998999999996</v>
      </c>
      <c r="E116" s="69">
        <v>264.97445699999997</v>
      </c>
      <c r="F116" s="69">
        <v>24.433485000000001</v>
      </c>
      <c r="G116" s="69">
        <v>203.51284799999999</v>
      </c>
      <c r="H116" s="69">
        <v>307.00607300000001</v>
      </c>
      <c r="I116" s="69">
        <v>24.889999</v>
      </c>
      <c r="J116" s="69">
        <v>127.86696600000001</v>
      </c>
      <c r="K116" s="70">
        <v>97.001472000000007</v>
      </c>
    </row>
    <row r="117" spans="1:11" x14ac:dyDescent="0.2">
      <c r="A117" s="87">
        <v>44044</v>
      </c>
      <c r="B117" s="71">
        <v>238.18022199999999</v>
      </c>
      <c r="C117" s="71">
        <v>83.264197999999993</v>
      </c>
      <c r="D117" s="71">
        <v>78.639999000000003</v>
      </c>
      <c r="E117" s="71">
        <v>293.97515900000002</v>
      </c>
      <c r="F117" s="71">
        <v>25.278048999999999</v>
      </c>
      <c r="G117" s="71">
        <v>223.88299599999999</v>
      </c>
      <c r="H117" s="71">
        <v>356.89679000000001</v>
      </c>
      <c r="I117" s="71">
        <v>29.629999000000002</v>
      </c>
      <c r="J117" s="71">
        <v>137.20503199999999</v>
      </c>
      <c r="K117" s="72">
        <v>111.19245100000001</v>
      </c>
    </row>
    <row r="118" spans="1:11" x14ac:dyDescent="0.2">
      <c r="A118" s="86">
        <v>44075</v>
      </c>
      <c r="B118" s="69">
        <v>224.341904</v>
      </c>
      <c r="C118" s="69">
        <v>85.154221000000007</v>
      </c>
      <c r="D118" s="69">
        <v>76.75</v>
      </c>
      <c r="E118" s="69">
        <v>276.98748799999998</v>
      </c>
      <c r="F118" s="69">
        <v>23.657662999999999</v>
      </c>
      <c r="G118" s="69">
        <v>209.298721</v>
      </c>
      <c r="H118" s="69">
        <v>336.94906600000002</v>
      </c>
      <c r="I118" s="69">
        <v>29.59</v>
      </c>
      <c r="J118" s="69">
        <v>138.82084699999999</v>
      </c>
      <c r="K118" s="70">
        <v>125.033722</v>
      </c>
    </row>
    <row r="119" spans="1:11" x14ac:dyDescent="0.2">
      <c r="A119" s="87">
        <v>44105</v>
      </c>
      <c r="B119" s="71">
        <v>215.32811000000001</v>
      </c>
      <c r="C119" s="71">
        <v>86.184944000000002</v>
      </c>
      <c r="D119" s="71">
        <v>83.660004000000001</v>
      </c>
      <c r="E119" s="71">
        <v>268.55343599999998</v>
      </c>
      <c r="F119" s="71">
        <v>23.436793999999999</v>
      </c>
      <c r="G119" s="71">
        <v>201.47728000000001</v>
      </c>
      <c r="H119" s="71">
        <v>287.59789999999998</v>
      </c>
      <c r="I119" s="71">
        <v>34.529998999999997</v>
      </c>
      <c r="J119" s="71">
        <v>137.669861</v>
      </c>
      <c r="K119" s="72">
        <v>119.595741</v>
      </c>
    </row>
    <row r="120" spans="1:11" x14ac:dyDescent="0.2">
      <c r="A120" s="86">
        <v>44136</v>
      </c>
      <c r="B120" s="69">
        <v>248.24169900000001</v>
      </c>
      <c r="C120" s="69">
        <v>97.146361999999996</v>
      </c>
      <c r="D120" s="69">
        <v>93.290001000000004</v>
      </c>
      <c r="E120" s="69">
        <v>298.70062300000001</v>
      </c>
      <c r="F120" s="69">
        <v>27.847259999999999</v>
      </c>
      <c r="G120" s="69">
        <v>213.02040099999999</v>
      </c>
      <c r="H120" s="69">
        <v>335.68548600000003</v>
      </c>
      <c r="I120" s="69">
        <v>43.84</v>
      </c>
      <c r="J120" s="69">
        <v>151.600571</v>
      </c>
      <c r="K120" s="70">
        <v>134.15678399999999</v>
      </c>
    </row>
    <row r="121" spans="1:11" ht="17" thickBot="1" x14ac:dyDescent="0.25">
      <c r="A121" s="88">
        <v>44166</v>
      </c>
      <c r="B121" s="73">
        <v>260.32043499999997</v>
      </c>
      <c r="C121" s="73">
        <v>106.526489</v>
      </c>
      <c r="D121" s="73">
        <v>101.099998</v>
      </c>
      <c r="E121" s="73">
        <v>312.77728300000001</v>
      </c>
      <c r="F121" s="73">
        <v>29.973382999999998</v>
      </c>
      <c r="G121" s="73">
        <v>221.908905</v>
      </c>
      <c r="H121" s="73">
        <v>356.06542999999999</v>
      </c>
      <c r="I121" s="73">
        <v>41.639999000000003</v>
      </c>
      <c r="J121" s="73">
        <v>143.02783199999999</v>
      </c>
      <c r="K121" s="74">
        <v>140.89948999999999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56752-7825-A644-856E-9128077954EE}">
  <dimension ref="A1:K124"/>
  <sheetViews>
    <sheetView showGridLines="0" workbookViewId="0">
      <selection activeCell="H4" sqref="H4"/>
    </sheetView>
  </sheetViews>
  <sheetFormatPr baseColWidth="10" defaultRowHeight="16" x14ac:dyDescent="0.2"/>
  <cols>
    <col min="1" max="1" width="17.6640625" bestFit="1" customWidth="1"/>
  </cols>
  <sheetData>
    <row r="1" spans="1:11" ht="17" thickBot="1" x14ac:dyDescent="0.25">
      <c r="A1" s="49" t="s">
        <v>0</v>
      </c>
      <c r="B1" s="41" t="s">
        <v>3</v>
      </c>
      <c r="C1" s="41" t="s">
        <v>6</v>
      </c>
      <c r="D1" s="41" t="s">
        <v>10</v>
      </c>
      <c r="E1" s="41" t="s">
        <v>13</v>
      </c>
      <c r="F1" s="41" t="s">
        <v>16</v>
      </c>
      <c r="G1" s="41" t="s">
        <v>19</v>
      </c>
      <c r="H1" s="41" t="s">
        <v>22</v>
      </c>
      <c r="I1" s="41" t="s">
        <v>25</v>
      </c>
      <c r="J1" s="41" t="s">
        <v>28</v>
      </c>
      <c r="K1" s="42" t="s">
        <v>31</v>
      </c>
    </row>
    <row r="2" spans="1:11" x14ac:dyDescent="0.2">
      <c r="A2" s="50">
        <v>40575</v>
      </c>
      <c r="B2" s="43">
        <f>(Sheet1!B3/Sheet1!B2-1)*12</f>
        <v>2.3307191935186822E-3</v>
      </c>
      <c r="C2" s="43">
        <f>(Sheet1!C3/Sheet1!C2-1)*12</f>
        <v>0.55185564280426735</v>
      </c>
      <c r="D2" s="43">
        <f>(Sheet1!D3/Sheet1!D2-1)*12</f>
        <v>0.87361677344205102</v>
      </c>
      <c r="E2" s="43">
        <f>(Sheet1!E3/Sheet1!E2-1)*12</f>
        <v>0.37928601554486896</v>
      </c>
      <c r="F2" s="43">
        <f>(Sheet1!F3/Sheet1!F2-1)*12</f>
        <v>0.48943480633424752</v>
      </c>
      <c r="G2" s="43">
        <f>(Sheet1!G3/Sheet1!G2-1)*12</f>
        <v>-0.49765741345968229</v>
      </c>
      <c r="H2" s="43">
        <f>(Sheet1!H3/Sheet1!H2-1)*12</f>
        <v>0.21343854758427572</v>
      </c>
      <c r="I2" s="43">
        <f>(Sheet1!I3/Sheet1!I2-1)*12</f>
        <v>-0.97341634326011661</v>
      </c>
      <c r="J2" s="43">
        <f>(Sheet1!J3/Sheet1!J2-1)*12</f>
        <v>-0.87533473718982879</v>
      </c>
      <c r="K2" s="44">
        <f>(Sheet1!K3/Sheet1!K2-1)*12</f>
        <v>0.95295633266454605</v>
      </c>
    </row>
    <row r="3" spans="1:11" x14ac:dyDescent="0.2">
      <c r="A3" s="87">
        <v>40603</v>
      </c>
      <c r="B3" s="15">
        <f>(Sheet1!B4/Sheet1!B3-1)*12</f>
        <v>0.81351939053190048</v>
      </c>
      <c r="C3" s="15">
        <f>(Sheet1!C4/Sheet1!C3-1)*12</f>
        <v>1.4983739980571213</v>
      </c>
      <c r="D3" s="15">
        <f>(Sheet1!D4/Sheet1!D3-1)*12</f>
        <v>-1.6319218241042366</v>
      </c>
      <c r="E3" s="15">
        <f>(Sheet1!E4/Sheet1!E3-1)*12</f>
        <v>-7.0628452378390882E-2</v>
      </c>
      <c r="F3" s="15">
        <f>(Sheet1!F4/Sheet1!F3-1)*12</f>
        <v>-0.80615767957328277</v>
      </c>
      <c r="G3" s="15">
        <f>(Sheet1!G4/Sheet1!G3-1)*12</f>
        <v>-0.4694926493974636</v>
      </c>
      <c r="H3" s="15">
        <f>(Sheet1!H4/Sheet1!H3-1)*12</f>
        <v>0.55670786449460419</v>
      </c>
      <c r="I3" s="15">
        <f>(Sheet1!I4/Sheet1!I3-1)*12</f>
        <v>-0.89472184375389308</v>
      </c>
      <c r="J3" s="15">
        <f>(Sheet1!J4/Sheet1!J3-1)*12</f>
        <v>1.6161800301904172E-2</v>
      </c>
      <c r="K3" s="16">
        <f>(Sheet1!K4/Sheet1!K3-1)*12</f>
        <v>-1.7966952241037002</v>
      </c>
    </row>
    <row r="4" spans="1:11" x14ac:dyDescent="0.2">
      <c r="A4" s="50">
        <v>40634</v>
      </c>
      <c r="B4" s="43">
        <f>(Sheet1!B5/Sheet1!B4-1)*12</f>
        <v>0.4715294866836155</v>
      </c>
      <c r="C4" s="43">
        <f>(Sheet1!C5/Sheet1!C4-1)*12</f>
        <v>-0.24357553080120198</v>
      </c>
      <c r="D4" s="43">
        <f>(Sheet1!D5/Sheet1!D4-1)*12</f>
        <v>-1.3270503298774727</v>
      </c>
      <c r="E4" s="43">
        <f>(Sheet1!E5/Sheet1!E4-1)*12</f>
        <v>0.36218821453142169</v>
      </c>
      <c r="F4" s="43">
        <f>(Sheet1!F5/Sheet1!F4-1)*12</f>
        <v>-0.93729257623918327</v>
      </c>
      <c r="G4" s="43">
        <f>(Sheet1!G5/Sheet1!G4-1)*12</f>
        <v>0.25049191785771363</v>
      </c>
      <c r="H4" s="43">
        <f>(Sheet1!H5/Sheet1!H4-1)*12</f>
        <v>1.1522298209559283</v>
      </c>
      <c r="I4" s="43">
        <f>(Sheet1!I5/Sheet1!I4-1)*12</f>
        <v>0.40992469090363581</v>
      </c>
      <c r="J4" s="43">
        <f>(Sheet1!J5/Sheet1!J4-1)*12</f>
        <v>0.76434889312435761</v>
      </c>
      <c r="K4" s="44">
        <f>(Sheet1!K5/Sheet1!K4-1)*12</f>
        <v>1.0953620013437231</v>
      </c>
    </row>
    <row r="5" spans="1:11" x14ac:dyDescent="0.2">
      <c r="A5" s="87">
        <v>40664</v>
      </c>
      <c r="B5" s="15">
        <f>(Sheet1!B6/Sheet1!B5-1)*12</f>
        <v>0.15254501935050868</v>
      </c>
      <c r="C5" s="15">
        <f>(Sheet1!C6/Sheet1!C5-1)*12</f>
        <v>0.19558187694244378</v>
      </c>
      <c r="D5" s="15">
        <f>(Sheet1!D6/Sheet1!D5-1)*12</f>
        <v>-0.66548882605047233</v>
      </c>
      <c r="E5" s="15">
        <f>(Sheet1!E6/Sheet1!E5-1)*12</f>
        <v>-0.14624806502700105</v>
      </c>
      <c r="F5" s="15">
        <f>(Sheet1!F6/Sheet1!F5-1)*12</f>
        <v>-0.51791648844633853</v>
      </c>
      <c r="G5" s="15">
        <f>(Sheet1!G6/Sheet1!G5-1)*12</f>
        <v>-0.42130000203554996</v>
      </c>
      <c r="H5" s="15">
        <f>(Sheet1!H6/Sheet1!H5-1)*12</f>
        <v>0.49254021919962909</v>
      </c>
      <c r="I5" s="15">
        <f>(Sheet1!I6/Sheet1!I5-1)*12</f>
        <v>-0.10470395358339379</v>
      </c>
      <c r="J5" s="15">
        <f>(Sheet1!J6/Sheet1!J5-1)*12</f>
        <v>5.2384999485017403E-2</v>
      </c>
      <c r="K5" s="16">
        <f>(Sheet1!K6/Sheet1!K5-1)*12</f>
        <v>0.31049448509007771</v>
      </c>
    </row>
    <row r="6" spans="1:11" x14ac:dyDescent="0.2">
      <c r="A6" s="50">
        <v>40695</v>
      </c>
      <c r="B6" s="43">
        <f>(Sheet1!B7/Sheet1!B6-1)*12</f>
        <v>0.6335598207038613</v>
      </c>
      <c r="C6" s="43">
        <f>(Sheet1!C7/Sheet1!C6-1)*12</f>
        <v>0.92667569261858951</v>
      </c>
      <c r="D6" s="43">
        <f>(Sheet1!D7/Sheet1!D6-1)*12</f>
        <v>-0.15706851159311874</v>
      </c>
      <c r="E6" s="43">
        <f>(Sheet1!E7/Sheet1!E6-1)*12</f>
        <v>-0.26935821610489707</v>
      </c>
      <c r="F6" s="43">
        <f>(Sheet1!F7/Sheet1!F6-1)*12</f>
        <v>-0.80680844600170243</v>
      </c>
      <c r="G6" s="43">
        <f>(Sheet1!G7/Sheet1!G6-1)*12</f>
        <v>0.55678471601315849</v>
      </c>
      <c r="H6" s="43">
        <f>(Sheet1!H7/Sheet1!H6-1)*12</f>
        <v>0.59738597902106161</v>
      </c>
      <c r="I6" s="43">
        <f>(Sheet1!I7/Sheet1!I6-1)*12</f>
        <v>-0.54699683568746638</v>
      </c>
      <c r="J6" s="43">
        <f>(Sheet1!J7/Sheet1!J6-1)*12</f>
        <v>-0.37560805374425943</v>
      </c>
      <c r="K6" s="44">
        <f>(Sheet1!K7/Sheet1!K6-1)*12</f>
        <v>0.7857908941297822</v>
      </c>
    </row>
    <row r="7" spans="1:11" x14ac:dyDescent="0.2">
      <c r="A7" s="87">
        <v>40725</v>
      </c>
      <c r="B7" s="15">
        <f>(Sheet1!B8/Sheet1!B7-1)*12</f>
        <v>-0.25421826885889232</v>
      </c>
      <c r="C7" s="15">
        <f>(Sheet1!C8/Sheet1!C7-1)*12</f>
        <v>0.1823227447547815</v>
      </c>
      <c r="D7" s="15">
        <f>(Sheet1!D8/Sheet1!D7-1)*12</f>
        <v>-0.58658539547500466</v>
      </c>
      <c r="E7" s="15">
        <f>(Sheet1!E8/Sheet1!E7-1)*12</f>
        <v>0.22718195588174073</v>
      </c>
      <c r="F7" s="15">
        <f>(Sheet1!F8/Sheet1!F7-1)*12</f>
        <v>-1.3595578724506332</v>
      </c>
      <c r="G7" s="15">
        <f>(Sheet1!G8/Sheet1!G7-1)*12</f>
        <v>0.64615363397465231</v>
      </c>
      <c r="H7" s="15">
        <f>(Sheet1!H8/Sheet1!H7-1)*12</f>
        <v>7.6057794310651516E-2</v>
      </c>
      <c r="I7" s="15">
        <f>(Sheet1!I8/Sheet1!I7-1)*12</f>
        <v>-1.0592903311506987</v>
      </c>
      <c r="J7" s="15">
        <f>(Sheet1!J8/Sheet1!J7-1)*12</f>
        <v>-9.7101314401894623E-2</v>
      </c>
      <c r="K7" s="16">
        <f>(Sheet1!K8/Sheet1!K7-1)*12</f>
        <v>6.8213704903334005E-2</v>
      </c>
    </row>
    <row r="8" spans="1:11" x14ac:dyDescent="0.2">
      <c r="A8" s="50">
        <v>40756</v>
      </c>
      <c r="B8" s="43">
        <f>(Sheet1!B9/Sheet1!B8-1)*12</f>
        <v>-1.1261387829713003</v>
      </c>
      <c r="C8" s="43">
        <f>(Sheet1!C9/Sheet1!C8-1)*12</f>
        <v>-0.44000491079005144</v>
      </c>
      <c r="D8" s="43">
        <f>(Sheet1!D9/Sheet1!D8-1)*12</f>
        <v>-1.5059756175298804</v>
      </c>
      <c r="E8" s="43">
        <f>(Sheet1!E9/Sheet1!E8-1)*12</f>
        <v>-0.60827569615479327</v>
      </c>
      <c r="F8" s="43">
        <f>(Sheet1!F9/Sheet1!F8-1)*12</f>
        <v>-1.9031921863218244</v>
      </c>
      <c r="G8" s="43">
        <f>(Sheet1!G9/Sheet1!G8-1)*12</f>
        <v>-0.35036532172349899</v>
      </c>
      <c r="H8" s="43">
        <f>(Sheet1!H9/Sheet1!H8-1)*12</f>
        <v>1.0532585144036863</v>
      </c>
      <c r="I8" s="43">
        <f>(Sheet1!I9/Sheet1!I8-1)*12</f>
        <v>-1.5823687891639859</v>
      </c>
      <c r="J8" s="43">
        <f>(Sheet1!J9/Sheet1!J8-1)*12</f>
        <v>0.10927531612454899</v>
      </c>
      <c r="K8" s="44">
        <f>(Sheet1!K9/Sheet1!K8-1)*12</f>
        <v>-0.4658957013837064</v>
      </c>
    </row>
    <row r="9" spans="1:11" x14ac:dyDescent="0.2">
      <c r="A9" s="87">
        <v>40787</v>
      </c>
      <c r="B9" s="15">
        <f>(Sheet1!B10/Sheet1!B9-1)*12</f>
        <v>-0.20377519596632787</v>
      </c>
      <c r="C9" s="15">
        <f>(Sheet1!C10/Sheet1!C9-1)*12</f>
        <v>-0.37209662739823246</v>
      </c>
      <c r="D9" s="15">
        <f>(Sheet1!D10/Sheet1!D9-1)*12</f>
        <v>-1.6127567374598293</v>
      </c>
      <c r="E9" s="15">
        <f>(Sheet1!E10/Sheet1!E9-1)*12</f>
        <v>-0.56011635654051961</v>
      </c>
      <c r="F9" s="15">
        <f>(Sheet1!F10/Sheet1!F9-1)*12</f>
        <v>-2.9999315810144456</v>
      </c>
      <c r="G9" s="15">
        <f>(Sheet1!G10/Sheet1!G9-1)*12</f>
        <v>-0.70055710280329997</v>
      </c>
      <c r="H9" s="15">
        <f>(Sheet1!H10/Sheet1!H9-1)*12</f>
        <v>-0.45676735096152088</v>
      </c>
      <c r="I9" s="15">
        <f>(Sheet1!I10/Sheet1!I9-1)*12</f>
        <v>-1.9225960254003773</v>
      </c>
      <c r="J9" s="15">
        <f>(Sheet1!J10/Sheet1!J9-1)*12</f>
        <v>-0.2063198666433097</v>
      </c>
      <c r="K9" s="16">
        <f>(Sheet1!K10/Sheet1!K9-1)*12</f>
        <v>-0.15786952423393386</v>
      </c>
    </row>
    <row r="10" spans="1:11" x14ac:dyDescent="0.2">
      <c r="A10" s="50">
        <v>40817</v>
      </c>
      <c r="B10" s="43">
        <f>(Sheet1!B11/Sheet1!B10-1)*12</f>
        <v>1.7266526376142757</v>
      </c>
      <c r="C10" s="43">
        <f>(Sheet1!C11/Sheet1!C10-1)*12</f>
        <v>1.6315410277340643</v>
      </c>
      <c r="D10" s="43">
        <f>(Sheet1!D11/Sheet1!D10-1)*12</f>
        <v>1.2442098947368434</v>
      </c>
      <c r="E10" s="43">
        <f>(Sheet1!E11/Sheet1!E10-1)*12</f>
        <v>1.2728072612412227</v>
      </c>
      <c r="F10" s="43">
        <f>(Sheet1!F11/Sheet1!F10-1)*12</f>
        <v>1.392159346466074</v>
      </c>
      <c r="G10" s="43">
        <f>(Sheet1!G11/Sheet1!G10-1)*12</f>
        <v>0.83889118132647678</v>
      </c>
      <c r="H10" s="43">
        <f>(Sheet1!H11/Sheet1!H10-1)*12</f>
        <v>1.1381018660407358</v>
      </c>
      <c r="I10" s="43">
        <f>(Sheet1!I11/Sheet1!I10-1)*12</f>
        <v>3.3716511344041979</v>
      </c>
      <c r="J10" s="43">
        <f>(Sheet1!J11/Sheet1!J10-1)*12</f>
        <v>1.1144407296813874</v>
      </c>
      <c r="K10" s="44">
        <f>(Sheet1!K11/Sheet1!K10-1)*12</f>
        <v>1.5697721400965747</v>
      </c>
    </row>
    <row r="11" spans="1:11" x14ac:dyDescent="0.2">
      <c r="A11" s="87">
        <v>40848</v>
      </c>
      <c r="B11" s="15">
        <f>(Sheet1!B12/Sheet1!B11-1)*12</f>
        <v>-0.32578794963899105</v>
      </c>
      <c r="C11" s="15">
        <f>(Sheet1!C12/Sheet1!C11-1)*12</f>
        <v>0.31727702915066036</v>
      </c>
      <c r="D11" s="15">
        <f>(Sheet1!D12/Sheet1!D11-1)*12</f>
        <v>-1.6709585918435201</v>
      </c>
      <c r="E11" s="15">
        <f>(Sheet1!E12/Sheet1!E11-1)*12</f>
        <v>-0.32303719558759303</v>
      </c>
      <c r="F11" s="15">
        <f>(Sheet1!F12/Sheet1!F11-1)*12</f>
        <v>-2.4421697976955907</v>
      </c>
      <c r="G11" s="15">
        <f>(Sheet1!G12/Sheet1!G11-1)*12</f>
        <v>-0.47315140213177553</v>
      </c>
      <c r="H11" s="15">
        <f>(Sheet1!H12/Sheet1!H11-1)*12</f>
        <v>0.95009641688022572</v>
      </c>
      <c r="I11" s="15">
        <f>(Sheet1!I12/Sheet1!I11-1)*12</f>
        <v>-2.1168278109429339</v>
      </c>
      <c r="J11" s="15">
        <f>(Sheet1!J12/Sheet1!J11-1)*12</f>
        <v>0.46121910042732761</v>
      </c>
      <c r="K11" s="16">
        <f>(Sheet1!K12/Sheet1!K11-1)*12</f>
        <v>-2.1174018314723764E-2</v>
      </c>
    </row>
    <row r="12" spans="1:11" x14ac:dyDescent="0.2">
      <c r="A12" s="50">
        <v>40878</v>
      </c>
      <c r="B12" s="43">
        <f>(Sheet1!B13/Sheet1!B12-1)*12</f>
        <v>-0.9735881832731037</v>
      </c>
      <c r="C12" s="43">
        <f>(Sheet1!C13/Sheet1!C12-1)*12</f>
        <v>0.74791477829157671</v>
      </c>
      <c r="D12" s="43">
        <f>(Sheet1!D13/Sheet1!D12-1)*12</f>
        <v>-6.6468701743409575E-3</v>
      </c>
      <c r="E12" s="43">
        <f>(Sheet1!E13/Sheet1!E12-1)*12</f>
        <v>-0.11917043812974848</v>
      </c>
      <c r="F12" s="43">
        <f>(Sheet1!F13/Sheet1!F12-1)*12</f>
        <v>0.28890141128841762</v>
      </c>
      <c r="G12" s="43">
        <f>(Sheet1!G13/Sheet1!G12-1)*12</f>
        <v>0.26996499608915236</v>
      </c>
      <c r="H12" s="43">
        <f>(Sheet1!H13/Sheet1!H12-1)*12</f>
        <v>-5.5426156098377088E-2</v>
      </c>
      <c r="I12" s="43">
        <f>(Sheet1!I13/Sheet1!I12-1)*12</f>
        <v>-0.57491595515647598</v>
      </c>
      <c r="J12" s="43">
        <f>(Sheet1!J13/Sheet1!J12-1)*12</f>
        <v>0.17520835279133529</v>
      </c>
      <c r="K12" s="44">
        <f>(Sheet1!K13/Sheet1!K12-1)*12</f>
        <v>2.3707797746326698E-2</v>
      </c>
    </row>
    <row r="13" spans="1:11" x14ac:dyDescent="0.2">
      <c r="A13" s="87">
        <v>40909</v>
      </c>
      <c r="B13" s="15">
        <f>(Sheet1!B14/Sheet1!B13-1)*12</f>
        <v>0.92654348118763163</v>
      </c>
      <c r="C13" s="15">
        <f>(Sheet1!C14/Sheet1!C13-1)*12</f>
        <v>0.49815049114509602</v>
      </c>
      <c r="D13" s="15">
        <f>(Sheet1!D14/Sheet1!D13-1)*12</f>
        <v>0.11973258759797289</v>
      </c>
      <c r="E13" s="15">
        <f>(Sheet1!E14/Sheet1!E13-1)*12</f>
        <v>1.0599991542469462</v>
      </c>
      <c r="F13" s="15">
        <f>(Sheet1!F14/Sheet1!F13-1)*12</f>
        <v>3.3884850685765855</v>
      </c>
      <c r="G13" s="15">
        <f>(Sheet1!G14/Sheet1!G13-1)*12</f>
        <v>1.6502351219962641</v>
      </c>
      <c r="H13" s="15">
        <f>(Sheet1!H14/Sheet1!H13-1)*12</f>
        <v>-0.55523018960498405</v>
      </c>
      <c r="I13" s="15">
        <f>(Sheet1!I14/Sheet1!I13-1)*12</f>
        <v>2.2200283061555908</v>
      </c>
      <c r="J13" s="15">
        <f>(Sheet1!J14/Sheet1!J13-1)*12</f>
        <v>0.39827580167002363</v>
      </c>
      <c r="K13" s="16">
        <f>(Sheet1!K14/Sheet1!K13-1)*12</f>
        <v>0.99748709735622398</v>
      </c>
    </row>
    <row r="14" spans="1:11" x14ac:dyDescent="0.2">
      <c r="A14" s="50">
        <v>40940</v>
      </c>
      <c r="B14" s="43">
        <f>(Sheet1!B15/Sheet1!B14-1)*12</f>
        <v>0.46041179700587076</v>
      </c>
      <c r="C14" s="43">
        <f>(Sheet1!C15/Sheet1!C14-1)*12</f>
        <v>0.16026740180395649</v>
      </c>
      <c r="D14" s="43">
        <f>(Sheet1!D15/Sheet1!D14-1)*12</f>
        <v>2.0878157018559653</v>
      </c>
      <c r="E14" s="43">
        <f>(Sheet1!E15/Sheet1!E14-1)*12</f>
        <v>0.76920776197604912</v>
      </c>
      <c r="F14" s="43">
        <f>(Sheet1!F15/Sheet1!F14-1)*12</f>
        <v>1.4137453968155542</v>
      </c>
      <c r="G14" s="43">
        <f>(Sheet1!G15/Sheet1!G14-1)*12</f>
        <v>0.89807043620223315</v>
      </c>
      <c r="H14" s="43">
        <f>(Sheet1!H15/Sheet1!H14-1)*12</f>
        <v>2.1804003624488226</v>
      </c>
      <c r="I14" s="43">
        <f>(Sheet1!I15/Sheet1!I14-1)*12</f>
        <v>0.9991677308159943</v>
      </c>
      <c r="J14" s="43">
        <f>(Sheet1!J15/Sheet1!J14-1)*12</f>
        <v>-0.44589277123273074</v>
      </c>
      <c r="K14" s="44">
        <f>(Sheet1!K15/Sheet1!K14-1)*12</f>
        <v>0.45350700115461606</v>
      </c>
    </row>
    <row r="15" spans="1:11" x14ac:dyDescent="0.2">
      <c r="A15" s="87">
        <v>40969</v>
      </c>
      <c r="B15" s="15">
        <f>(Sheet1!B16/Sheet1!B15-1)*12</f>
        <v>0.99966453622945295</v>
      </c>
      <c r="C15" s="15">
        <f>(Sheet1!C16/Sheet1!C15-1)*12</f>
        <v>1.8601307567344882</v>
      </c>
      <c r="D15" s="15">
        <f>(Sheet1!D16/Sheet1!D15-1)*12</f>
        <v>-0.34782554220783313</v>
      </c>
      <c r="E15" s="15">
        <f>(Sheet1!E16/Sheet1!E15-1)*12</f>
        <v>0.58500293566752593</v>
      </c>
      <c r="F15" s="15">
        <f>(Sheet1!F16/Sheet1!F15-1)*12</f>
        <v>2.4268014574214654</v>
      </c>
      <c r="G15" s="15">
        <f>(Sheet1!G16/Sheet1!G15-1)*12</f>
        <v>0.27688967727218294</v>
      </c>
      <c r="H15" s="15">
        <f>(Sheet1!H16/Sheet1!H15-1)*12</f>
        <v>1.5426569527044798E-2</v>
      </c>
      <c r="I15" s="15">
        <f>(Sheet1!I16/Sheet1!I15-1)*12</f>
        <v>-0.17063696704663966</v>
      </c>
      <c r="J15" s="15">
        <f>(Sheet1!J16/Sheet1!J15-1)*12</f>
        <v>0.43060098423296367</v>
      </c>
      <c r="K15" s="16">
        <f>(Sheet1!K16/Sheet1!K15-1)*12</f>
        <v>5.7819011530608755E-2</v>
      </c>
    </row>
    <row r="16" spans="1:11" x14ac:dyDescent="0.2">
      <c r="A16" s="50">
        <v>41000</v>
      </c>
      <c r="B16" s="43">
        <f>(Sheet1!B17/Sheet1!B16-1)*12</f>
        <v>8.372026491432738E-2</v>
      </c>
      <c r="C16" s="43">
        <f>(Sheet1!C17/Sheet1!C16-1)*12</f>
        <v>0.31776894749933149</v>
      </c>
      <c r="D16" s="43">
        <f>(Sheet1!D17/Sheet1!D16-1)*12</f>
        <v>-2.6345696677900818</v>
      </c>
      <c r="E16" s="43">
        <f>(Sheet1!E17/Sheet1!E16-1)*12</f>
        <v>-0.12020918541704306</v>
      </c>
      <c r="F16" s="43">
        <f>(Sheet1!F17/Sheet1!F16-1)*12</f>
        <v>-1.8307219485232391</v>
      </c>
      <c r="G16" s="43">
        <f>(Sheet1!G17/Sheet1!G16-1)*12</f>
        <v>-8.9276146466743533E-2</v>
      </c>
      <c r="H16" s="43">
        <f>(Sheet1!H17/Sheet1!H16-1)*12</f>
        <v>0.90540605447055977</v>
      </c>
      <c r="I16" s="43">
        <f>(Sheet1!I17/Sheet1!I16-1)*12</f>
        <v>-1.239764524362152</v>
      </c>
      <c r="J16" s="43">
        <f>(Sheet1!J17/Sheet1!J16-1)*12</f>
        <v>-0.37170455831745786</v>
      </c>
      <c r="K16" s="44">
        <f>(Sheet1!K17/Sheet1!K16-1)*12</f>
        <v>0.42099748121776948</v>
      </c>
    </row>
    <row r="17" spans="1:11" x14ac:dyDescent="0.2">
      <c r="A17" s="87">
        <v>41030</v>
      </c>
      <c r="B17" s="15">
        <f>(Sheet1!B18/Sheet1!B17-1)*12</f>
        <v>-1.3363638823417565</v>
      </c>
      <c r="C17" s="15">
        <f>(Sheet1!C18/Sheet1!C17-1)*12</f>
        <v>-0.51873999371376822</v>
      </c>
      <c r="D17" s="15">
        <f>(Sheet1!D18/Sheet1!D17-1)*12</f>
        <v>-2.1986422084295012</v>
      </c>
      <c r="E17" s="15">
        <f>(Sheet1!E18/Sheet1!E17-1)*12</f>
        <v>-0.84481776281723731</v>
      </c>
      <c r="F17" s="15">
        <f>(Sheet1!F18/Sheet1!F17-1)*12</f>
        <v>-1.1245370244335464</v>
      </c>
      <c r="G17" s="15">
        <f>(Sheet1!G18/Sheet1!G17-1)*12</f>
        <v>-1.060587100200328</v>
      </c>
      <c r="H17" s="15">
        <f>(Sheet1!H18/Sheet1!H17-1)*12</f>
        <v>-1.2067489009309189</v>
      </c>
      <c r="I17" s="15">
        <f>(Sheet1!I18/Sheet1!I17-1)*12</f>
        <v>-0.41739526657576143</v>
      </c>
      <c r="J17" s="15">
        <f>(Sheet1!J18/Sheet1!J17-1)*12</f>
        <v>1.4075685466931684</v>
      </c>
      <c r="K17" s="16">
        <f>(Sheet1!K18/Sheet1!K17-1)*12</f>
        <v>-0.39581522872385833</v>
      </c>
    </row>
    <row r="18" spans="1:11" x14ac:dyDescent="0.2">
      <c r="A18" s="50">
        <v>41061</v>
      </c>
      <c r="B18" s="43">
        <f>(Sheet1!B19/Sheet1!B18-1)*12</f>
        <v>0.62836951332156765</v>
      </c>
      <c r="C18" s="43">
        <f>(Sheet1!C19/Sheet1!C18-1)*12</f>
        <v>-0.30745581326473204</v>
      </c>
      <c r="D18" s="43">
        <f>(Sheet1!D19/Sheet1!D18-1)*12</f>
        <v>0.90634441087613205</v>
      </c>
      <c r="E18" s="43">
        <f>(Sheet1!E19/Sheet1!E18-1)*12</f>
        <v>0.40606009601036064</v>
      </c>
      <c r="F18" s="43">
        <f>(Sheet1!F19/Sheet1!F18-1)*12</f>
        <v>1.3730735303476207</v>
      </c>
      <c r="G18" s="43">
        <f>(Sheet1!G19/Sheet1!G18-1)*12</f>
        <v>0.65805620353823624</v>
      </c>
      <c r="H18" s="43">
        <f>(Sheet1!H19/Sheet1!H18-1)*12</f>
        <v>0.69665989826167518</v>
      </c>
      <c r="I18" s="43">
        <f>(Sheet1!I19/Sheet1!I18-1)*12</f>
        <v>-1.3405375691526378</v>
      </c>
      <c r="J18" s="43">
        <f>(Sheet1!J19/Sheet1!J18-1)*12</f>
        <v>0.79728964257935697</v>
      </c>
      <c r="K18" s="44">
        <f>(Sheet1!K19/Sheet1!K18-1)*12</f>
        <v>-2.2305095432049051</v>
      </c>
    </row>
    <row r="19" spans="1:11" x14ac:dyDescent="0.2">
      <c r="A19" s="87">
        <v>41091</v>
      </c>
      <c r="B19" s="15">
        <f>(Sheet1!B20/Sheet1!B19-1)*12</f>
        <v>4.1937026040628211E-2</v>
      </c>
      <c r="C19" s="15">
        <f>(Sheet1!C20/Sheet1!C19-1)*12</f>
        <v>-1.8094507724841682</v>
      </c>
      <c r="D19" s="15">
        <f>(Sheet1!D20/Sheet1!D19-1)*12</f>
        <v>-1.7612359550561796</v>
      </c>
      <c r="E19" s="15">
        <f>(Sheet1!E20/Sheet1!E19-1)*12</f>
        <v>0.14755682528894543</v>
      </c>
      <c r="F19" s="15">
        <f>(Sheet1!F20/Sheet1!F19-1)*12</f>
        <v>-1.2322723018014781</v>
      </c>
      <c r="G19" s="15">
        <f>(Sheet1!G20/Sheet1!G19-1)*12</f>
        <v>-0.43935832877349412</v>
      </c>
      <c r="H19" s="15">
        <f>(Sheet1!H20/Sheet1!H19-1)*12</f>
        <v>0.18023608324201579</v>
      </c>
      <c r="I19" s="15">
        <f>(Sheet1!I20/Sheet1!I19-1)*12</f>
        <v>-6.0868156588864686E-3</v>
      </c>
      <c r="J19" s="15">
        <f>(Sheet1!J20/Sheet1!J19-1)*12</f>
        <v>0.81067343557550586</v>
      </c>
      <c r="K19" s="16">
        <f>(Sheet1!K20/Sheet1!K19-1)*12</f>
        <v>0.76145151875662886</v>
      </c>
    </row>
    <row r="20" spans="1:11" x14ac:dyDescent="0.2">
      <c r="A20" s="50">
        <v>41122</v>
      </c>
      <c r="B20" s="43">
        <f>(Sheet1!B21/Sheet1!B20-1)*12</f>
        <v>0.25870815217024035</v>
      </c>
      <c r="C20" s="43">
        <f>(Sheet1!C21/Sheet1!C20-1)*12</f>
        <v>1.1475265657193692</v>
      </c>
      <c r="D20" s="43">
        <f>(Sheet1!D21/Sheet1!D20-1)*12</f>
        <v>-0.82962962962962905</v>
      </c>
      <c r="E20" s="43">
        <f>(Sheet1!E21/Sheet1!E20-1)*12</f>
        <v>0.62222131654000723</v>
      </c>
      <c r="F20" s="43">
        <f>(Sheet1!F21/Sheet1!F20-1)*12</f>
        <v>1.0626721628719995</v>
      </c>
      <c r="G20" s="43">
        <f>(Sheet1!G21/Sheet1!G20-1)*12</f>
        <v>0.54971107872701985</v>
      </c>
      <c r="H20" s="43">
        <f>(Sheet1!H21/Sheet1!H20-1)*12</f>
        <v>-0.36784930768927904</v>
      </c>
      <c r="I20" s="43">
        <f>(Sheet1!I21/Sheet1!I20-1)*12</f>
        <v>0.99847811462664104</v>
      </c>
      <c r="J20" s="43">
        <f>(Sheet1!J21/Sheet1!J20-1)*12</f>
        <v>-0.29504811935247144</v>
      </c>
      <c r="K20" s="44">
        <f>(Sheet1!K21/Sheet1!K20-1)*12</f>
        <v>0.51547548430513501</v>
      </c>
    </row>
    <row r="21" spans="1:11" x14ac:dyDescent="0.2">
      <c r="A21" s="87">
        <v>41153</v>
      </c>
      <c r="B21" s="15">
        <f>(Sheet1!B22/Sheet1!B21-1)*12</f>
        <v>1.6422068505273071</v>
      </c>
      <c r="C21" s="15">
        <f>(Sheet1!C22/Sheet1!C21-1)*12</f>
        <v>0.31374532858205662</v>
      </c>
      <c r="D21" s="15">
        <f>(Sheet1!D22/Sheet1!D21-1)*12</f>
        <v>0.41379310344827402</v>
      </c>
      <c r="E21" s="15">
        <f>(Sheet1!E22/Sheet1!E21-1)*12</f>
        <v>7.2186490298558503E-2</v>
      </c>
      <c r="F21" s="15">
        <f>(Sheet1!F22/Sheet1!F21-1)*12</f>
        <v>1.261576744763623</v>
      </c>
      <c r="G21" s="15">
        <f>(Sheet1!G22/Sheet1!G21-1)*12</f>
        <v>-0.33595585127933036</v>
      </c>
      <c r="H21" s="15">
        <f>(Sheet1!H22/Sheet1!H21-1)*12</f>
        <v>0.81097514207542254</v>
      </c>
      <c r="I21" s="15">
        <f>(Sheet1!I22/Sheet1!I21-1)*12</f>
        <v>0.78688286158614851</v>
      </c>
      <c r="J21" s="15">
        <f>(Sheet1!J22/Sheet1!J21-1)*12</f>
        <v>0.26432193388474534</v>
      </c>
      <c r="K21" s="16">
        <f>(Sheet1!K22/Sheet1!K21-1)*12</f>
        <v>-0.25914120511816963</v>
      </c>
    </row>
    <row r="22" spans="1:11" x14ac:dyDescent="0.2">
      <c r="A22" s="50">
        <v>41183</v>
      </c>
      <c r="B22" s="43">
        <f>(Sheet1!B23/Sheet1!B22-1)*12</f>
        <v>-0.44895106631230197</v>
      </c>
      <c r="C22" s="43">
        <f>(Sheet1!C23/Sheet1!C22-1)*12</f>
        <v>-1.1382368204853179</v>
      </c>
      <c r="D22" s="43">
        <f>(Sheet1!D23/Sheet1!D22-1)*12</f>
        <v>4.102564102564088E-2</v>
      </c>
      <c r="E22" s="43">
        <f>(Sheet1!E23/Sheet1!E22-1)*12</f>
        <v>-0.60110303190298842</v>
      </c>
      <c r="F22" s="43">
        <f>(Sheet1!F23/Sheet1!F22-1)*12</f>
        <v>0.68176294684441174</v>
      </c>
      <c r="G22" s="43">
        <f>(Sheet1!G23/Sheet1!G22-1)*12</f>
        <v>-0.49193648719063798</v>
      </c>
      <c r="H22" s="43">
        <f>(Sheet1!H23/Sheet1!H22-1)*12</f>
        <v>0.25116991835003599</v>
      </c>
      <c r="I22" s="43">
        <f>(Sheet1!I23/Sheet1!I22-1)*12</f>
        <v>1.4505484456016005</v>
      </c>
      <c r="J22" s="43">
        <f>(Sheet1!J23/Sheet1!J22-1)*12</f>
        <v>0.19837391159375617</v>
      </c>
      <c r="K22" s="44">
        <f>(Sheet1!K23/Sheet1!K22-1)*12</f>
        <v>-0.44631925671438921</v>
      </c>
    </row>
    <row r="23" spans="1:11" x14ac:dyDescent="0.2">
      <c r="A23" s="87">
        <v>41214</v>
      </c>
      <c r="B23" s="15">
        <f>(Sheet1!B24/Sheet1!B23-1)*12</f>
        <v>0.23152201464746813</v>
      </c>
      <c r="C23" s="15">
        <f>(Sheet1!C24/Sheet1!C23-1)*12</f>
        <v>1.5607868413303194</v>
      </c>
      <c r="D23" s="15">
        <f>(Sheet1!D24/Sheet1!D23-1)*12</f>
        <v>-2.0442930153321979</v>
      </c>
      <c r="E23" s="15">
        <f>(Sheet1!E24/Sheet1!E23-1)*12</f>
        <v>0.15704797788124125</v>
      </c>
      <c r="F23" s="15">
        <f>(Sheet1!F24/Sheet1!F23-1)*12</f>
        <v>0.69527961603217836</v>
      </c>
      <c r="G23" s="15">
        <f>(Sheet1!G24/Sheet1!G23-1)*12</f>
        <v>-0.80728535991371242</v>
      </c>
      <c r="H23" s="15">
        <f>(Sheet1!H24/Sheet1!H23-1)*12</f>
        <v>0.7304948477809674</v>
      </c>
      <c r="I23" s="15">
        <f>(Sheet1!I24/Sheet1!I23-1)*12</f>
        <v>0.17882319083478748</v>
      </c>
      <c r="J23" s="15">
        <f>(Sheet1!J24/Sheet1!J23-1)*12</f>
        <v>-0.47987437112066766</v>
      </c>
      <c r="K23" s="16">
        <f>(Sheet1!K24/Sheet1!K23-1)*12</f>
        <v>0.80105104364887669</v>
      </c>
    </row>
    <row r="24" spans="1:11" x14ac:dyDescent="0.2">
      <c r="A24" s="50">
        <v>41244</v>
      </c>
      <c r="B24" s="43">
        <f>(Sheet1!B25/Sheet1!B24-1)*12</f>
        <v>-0.25088541777750484</v>
      </c>
      <c r="C24" s="43">
        <f>(Sheet1!C25/Sheet1!C24-1)*12</f>
        <v>0.45879686421143795</v>
      </c>
      <c r="D24" s="43">
        <f>(Sheet1!D25/Sheet1!D24-1)*12</f>
        <v>1.7987679671457899</v>
      </c>
      <c r="E24" s="43">
        <f>(Sheet1!E25/Sheet1!E24-1)*12</f>
        <v>-0.12218835338564027</v>
      </c>
      <c r="F24" s="43">
        <f>(Sheet1!F25/Sheet1!F24-1)*12</f>
        <v>2.1298153496004986</v>
      </c>
      <c r="G24" s="43">
        <f>(Sheet1!G25/Sheet1!G24-1)*12</f>
        <v>0.13950633740387897</v>
      </c>
      <c r="H24" s="43">
        <f>(Sheet1!H25/Sheet1!H24-1)*12</f>
        <v>6.3847179658976572E-2</v>
      </c>
      <c r="I24" s="43">
        <f>(Sheet1!I25/Sheet1!I24-1)*12</f>
        <v>1.3678558439113937</v>
      </c>
      <c r="J24" s="43">
        <f>(Sheet1!J25/Sheet1!J24-1)*12</f>
        <v>-0.63148727154415774</v>
      </c>
      <c r="K24" s="44">
        <f>(Sheet1!K25/Sheet1!K24-1)*12</f>
        <v>0.70413983091374632</v>
      </c>
    </row>
    <row r="25" spans="1:11" x14ac:dyDescent="0.2">
      <c r="A25" s="87">
        <v>41275</v>
      </c>
      <c r="B25" s="15">
        <f>(Sheet1!B26/Sheet1!B25-1)*12</f>
        <v>0.97263175554933223</v>
      </c>
      <c r="C25" s="15">
        <f>(Sheet1!C26/Sheet1!C25-1)*12</f>
        <v>0.55715279543106622</v>
      </c>
      <c r="D25" s="15">
        <f>(Sheet1!D26/Sheet1!D25-1)*12</f>
        <v>4.0071428571428589</v>
      </c>
      <c r="E25" s="15">
        <f>(Sheet1!E26/Sheet1!E25-1)*12</f>
        <v>0.38920880544900172</v>
      </c>
      <c r="F25" s="15">
        <f>(Sheet1!F26/Sheet1!F25-1)*12</f>
        <v>-0.28791918749486856</v>
      </c>
      <c r="G25" s="15">
        <f>(Sheet1!G26/Sheet1!G25-1)*12</f>
        <v>0.3324638403285336</v>
      </c>
      <c r="H25" s="15">
        <f>(Sheet1!H26/Sheet1!H25-1)*12</f>
        <v>0.66243290649294284</v>
      </c>
      <c r="I25" s="15">
        <f>(Sheet1!I26/Sheet1!I25-1)*12</f>
        <v>-0.30801173008735683</v>
      </c>
      <c r="J25" s="15">
        <f>(Sheet1!J26/Sheet1!J25-1)*12</f>
        <v>0.3707708130173204</v>
      </c>
      <c r="K25" s="16">
        <f>(Sheet1!K26/Sheet1!K25-1)*12</f>
        <v>0.62405094662362437</v>
      </c>
    </row>
    <row r="26" spans="1:11" x14ac:dyDescent="0.2">
      <c r="A26" s="50">
        <v>41306</v>
      </c>
      <c r="B26" s="43">
        <f>(Sheet1!B27/Sheet1!B26-1)*12</f>
        <v>0.41229778915374116</v>
      </c>
      <c r="C26" s="43">
        <f>(Sheet1!C27/Sheet1!C26-1)*12</f>
        <v>-0.27156417379725228</v>
      </c>
      <c r="D26" s="43">
        <f>(Sheet1!D27/Sheet1!D26-1)*12</f>
        <v>-0.2891566265060237</v>
      </c>
      <c r="E26" s="43">
        <f>(Sheet1!E27/Sheet1!E26-1)*12</f>
        <v>4.1271611878004322E-2</v>
      </c>
      <c r="F26" s="43">
        <f>(Sheet1!F27/Sheet1!F26-1)*12</f>
        <v>-9.5410125943706348E-2</v>
      </c>
      <c r="G26" s="43">
        <f>(Sheet1!G27/Sheet1!G26-1)*12</f>
        <v>0.15300266676319207</v>
      </c>
      <c r="H26" s="43">
        <f>(Sheet1!H27/Sheet1!H26-1)*12</f>
        <v>-6.382610424828794E-3</v>
      </c>
      <c r="I26" s="43">
        <f>(Sheet1!I27/Sheet1!I26-1)*12</f>
        <v>-0.40156738269824954</v>
      </c>
      <c r="J26" s="43">
        <f>(Sheet1!J27/Sheet1!J26-1)*12</f>
        <v>0.1423862715516675</v>
      </c>
      <c r="K26" s="44">
        <f>(Sheet1!K27/Sheet1!K26-1)*12</f>
        <v>9.102466083149352E-2</v>
      </c>
    </row>
    <row r="27" spans="1:11" x14ac:dyDescent="0.2">
      <c r="A27" s="87">
        <v>41334</v>
      </c>
      <c r="B27" s="15">
        <f>(Sheet1!B28/Sheet1!B27-1)*12</f>
        <v>0.25981642032660979</v>
      </c>
      <c r="C27" s="15">
        <f>(Sheet1!C28/Sheet1!C27-1)*12</f>
        <v>0.50626100977450861</v>
      </c>
      <c r="D27" s="15">
        <f>(Sheet1!D28/Sheet1!D27-1)*12</f>
        <v>2.3209876543209864</v>
      </c>
      <c r="E27" s="15">
        <f>(Sheet1!E28/Sheet1!E27-1)*12</f>
        <v>0.33442650694288112</v>
      </c>
      <c r="F27" s="15">
        <f>(Sheet1!F28/Sheet1!F27-1)*12</f>
        <v>1.0268423501033936</v>
      </c>
      <c r="G27" s="15">
        <f>(Sheet1!G28/Sheet1!G27-1)*12</f>
        <v>0.45188737255583789</v>
      </c>
      <c r="H27" s="15">
        <f>(Sheet1!H28/Sheet1!H27-1)*12</f>
        <v>0.54018596836164523</v>
      </c>
      <c r="I27" s="15">
        <f>(Sheet1!I28/Sheet1!I27-1)*12</f>
        <v>0.29613212234464026</v>
      </c>
      <c r="J27" s="15">
        <f>(Sheet1!J28/Sheet1!J27-1)*12</f>
        <v>0.68663868723565535</v>
      </c>
      <c r="K27" s="16">
        <f>(Sheet1!K28/Sheet1!K27-1)*12</f>
        <v>1.0530144383547357</v>
      </c>
    </row>
    <row r="28" spans="1:11" x14ac:dyDescent="0.2">
      <c r="A28" s="50">
        <v>41365</v>
      </c>
      <c r="B28" s="43">
        <f>(Sheet1!B29/Sheet1!B28-1)*12</f>
        <v>0.86402623275712731</v>
      </c>
      <c r="C28" s="43">
        <f>(Sheet1!C29/Sheet1!C28-1)*12</f>
        <v>0.81966449258479823</v>
      </c>
      <c r="D28" s="43">
        <f>(Sheet1!D29/Sheet1!D28-1)*12</f>
        <v>-0.66896551724137909</v>
      </c>
      <c r="E28" s="43">
        <f>(Sheet1!E29/Sheet1!E28-1)*12</f>
        <v>0.33295624600377316</v>
      </c>
      <c r="F28" s="43">
        <f>(Sheet1!F29/Sheet1!F28-1)*12</f>
        <v>0.12807933642731228</v>
      </c>
      <c r="G28" s="43">
        <f>(Sheet1!G29/Sheet1!G28-1)*12</f>
        <v>1.8832582089486136</v>
      </c>
      <c r="H28" s="43">
        <f>(Sheet1!H29/Sheet1!H28-1)*12</f>
        <v>0.26167598929086822</v>
      </c>
      <c r="I28" s="43">
        <f>(Sheet1!I29/Sheet1!I28-1)*12</f>
        <v>1.3026626851277916</v>
      </c>
      <c r="J28" s="43">
        <f>(Sheet1!J29/Sheet1!J28-1)*12</f>
        <v>0.54385303202857926</v>
      </c>
      <c r="K28" s="44">
        <f>(Sheet1!K29/Sheet1!K28-1)*12</f>
        <v>0.93340259416327065</v>
      </c>
    </row>
    <row r="29" spans="1:11" x14ac:dyDescent="0.2">
      <c r="A29" s="87">
        <v>41395</v>
      </c>
      <c r="B29" s="15">
        <f>(Sheet1!B30/Sheet1!B29-1)*12</f>
        <v>0.22869354406184605</v>
      </c>
      <c r="C29" s="15">
        <f>(Sheet1!C30/Sheet1!C29-1)*12</f>
        <v>0.45364734760196246</v>
      </c>
      <c r="D29" s="15">
        <f>(Sheet1!D30/Sheet1!D29-1)*12</f>
        <v>2.7169811320754711</v>
      </c>
      <c r="E29" s="15">
        <f>(Sheet1!E30/Sheet1!E29-1)*12</f>
        <v>0.42929669419898708</v>
      </c>
      <c r="F29" s="15">
        <f>(Sheet1!F30/Sheet1!F29-1)*12</f>
        <v>1.3160018112340683</v>
      </c>
      <c r="G29" s="15">
        <f>(Sheet1!G30/Sheet1!G29-1)*12</f>
        <v>0.65256638923762011</v>
      </c>
      <c r="H29" s="15">
        <f>(Sheet1!H30/Sheet1!H29-1)*12</f>
        <v>0.38980077733824015</v>
      </c>
      <c r="I29" s="15">
        <f>(Sheet1!I30/Sheet1!I29-1)*12</f>
        <v>1.186767705787469</v>
      </c>
      <c r="J29" s="15">
        <f>(Sheet1!J30/Sheet1!J29-1)*12</f>
        <v>-0.44466890592050579</v>
      </c>
      <c r="K29" s="16">
        <f>(Sheet1!K30/Sheet1!K29-1)*12</f>
        <v>-0.36603836912798782</v>
      </c>
    </row>
    <row r="30" spans="1:11" x14ac:dyDescent="0.2">
      <c r="A30" s="50">
        <v>41426</v>
      </c>
      <c r="B30" s="43">
        <f>(Sheet1!B31/Sheet1!B30-1)*12</f>
        <v>-1.4833745919145995</v>
      </c>
      <c r="C30" s="43">
        <f>(Sheet1!C31/Sheet1!C30-1)*12</f>
        <v>0.49241489132126848</v>
      </c>
      <c r="D30" s="43">
        <f>(Sheet1!D31/Sheet1!D30-1)*12</f>
        <v>0.61935543424317618</v>
      </c>
      <c r="E30" s="43">
        <f>(Sheet1!E31/Sheet1!E30-1)*12</f>
        <v>-0.32436127121311076</v>
      </c>
      <c r="F30" s="43">
        <f>(Sheet1!F31/Sheet1!F30-1)*12</f>
        <v>-0.70277853551436431</v>
      </c>
      <c r="G30" s="43">
        <f>(Sheet1!G31/Sheet1!G30-1)*12</f>
        <v>-4.0502633890940221E-2</v>
      </c>
      <c r="H30" s="43">
        <f>(Sheet1!H31/Sheet1!H30-1)*12</f>
        <v>8.9434791413584236E-2</v>
      </c>
      <c r="I30" s="43">
        <f>(Sheet1!I31/Sheet1!I30-1)*12</f>
        <v>-0.20537197792311446</v>
      </c>
      <c r="J30" s="43">
        <f>(Sheet1!J31/Sheet1!J30-1)*12</f>
        <v>1.5516994898422176E-2</v>
      </c>
      <c r="K30" s="44">
        <f>(Sheet1!K31/Sheet1!K30-1)*12</f>
        <v>0.43462033775651499</v>
      </c>
    </row>
    <row r="31" spans="1:11" x14ac:dyDescent="0.2">
      <c r="A31" s="87">
        <v>41456</v>
      </c>
      <c r="B31" s="15">
        <f>(Sheet1!B32/Sheet1!B31-1)*12</f>
        <v>0.30850307517956299</v>
      </c>
      <c r="C31" s="15">
        <f>(Sheet1!C32/Sheet1!C31-1)*12</f>
        <v>1.0587696575771943</v>
      </c>
      <c r="D31" s="15">
        <f>(Sheet1!D32/Sheet1!D31-1)*12</f>
        <v>-8.4945725108742653E-2</v>
      </c>
      <c r="E31" s="15">
        <f>(Sheet1!E32/Sheet1!E31-1)*12</f>
        <v>0.79803782608363072</v>
      </c>
      <c r="F31" s="15">
        <f>(Sheet1!F32/Sheet1!F31-1)*12</f>
        <v>1.6338428456951384</v>
      </c>
      <c r="G31" s="15">
        <f>(Sheet1!G32/Sheet1!G31-1)*12</f>
        <v>-0.93804134871984735</v>
      </c>
      <c r="H31" s="15">
        <f>(Sheet1!H32/Sheet1!H31-1)*12</f>
        <v>0.75425847256017864</v>
      </c>
      <c r="I31" s="15">
        <f>(Sheet1!I32/Sheet1!I31-1)*12</f>
        <v>0.9222471067975011</v>
      </c>
      <c r="J31" s="15">
        <f>(Sheet1!J32/Sheet1!J31-1)*12</f>
        <v>0.55578195945106668</v>
      </c>
      <c r="K31" s="16">
        <f>(Sheet1!K32/Sheet1!K31-1)*12</f>
        <v>-0.14321820441337829</v>
      </c>
    </row>
    <row r="32" spans="1:11" x14ac:dyDescent="0.2">
      <c r="A32" s="50">
        <v>41487</v>
      </c>
      <c r="B32" s="43">
        <f>(Sheet1!B33/Sheet1!B32-1)*12</f>
        <v>-0.25362350322838223</v>
      </c>
      <c r="C32" s="43">
        <f>(Sheet1!C33/Sheet1!C32-1)*12</f>
        <v>-0.1296077627421921</v>
      </c>
      <c r="D32" s="43">
        <f>(Sheet1!D33/Sheet1!D32-1)*12</f>
        <v>-0.61597069315728614</v>
      </c>
      <c r="E32" s="43">
        <f>(Sheet1!E33/Sheet1!E32-1)*12</f>
        <v>-4.7509079222192163E-2</v>
      </c>
      <c r="F32" s="43">
        <f>(Sheet1!F33/Sheet1!F32-1)*12</f>
        <v>-0.39452032615769683</v>
      </c>
      <c r="G32" s="43">
        <f>(Sheet1!G33/Sheet1!G32-1)*12</f>
        <v>0.58793907254119571</v>
      </c>
      <c r="H32" s="43">
        <f>(Sheet1!H33/Sheet1!H32-1)*12</f>
        <v>-7.6823336661642649E-2</v>
      </c>
      <c r="I32" s="43">
        <f>(Sheet1!I33/Sheet1!I32-1)*12</f>
        <v>-0.59882703959623207</v>
      </c>
      <c r="J32" s="43">
        <f>(Sheet1!J33/Sheet1!J32-1)*12</f>
        <v>-0.76366250724577123</v>
      </c>
      <c r="K32" s="44">
        <f>(Sheet1!K33/Sheet1!K32-1)*12</f>
        <v>-1.9071038859943101E-2</v>
      </c>
    </row>
    <row r="33" spans="1:11" x14ac:dyDescent="0.2">
      <c r="A33" s="87">
        <v>41518</v>
      </c>
      <c r="B33" s="15">
        <f>(Sheet1!B34/Sheet1!B33-1)*12</f>
        <v>0.23086610105068228</v>
      </c>
      <c r="C33" s="15">
        <f>(Sheet1!C34/Sheet1!C33-1)*12</f>
        <v>1.1348441755246199</v>
      </c>
      <c r="D33" s="15">
        <f>(Sheet1!D34/Sheet1!D33-1)*12</f>
        <v>0.9378763996932058</v>
      </c>
      <c r="E33" s="15">
        <f>(Sheet1!E34/Sheet1!E33-1)*12</f>
        <v>0.54220017838866674</v>
      </c>
      <c r="F33" s="15">
        <f>(Sheet1!F34/Sheet1!F33-1)*12</f>
        <v>-0.27195451613906574</v>
      </c>
      <c r="G33" s="15">
        <f>(Sheet1!G34/Sheet1!G33-1)*12</f>
        <v>4.1140322599843238E-2</v>
      </c>
      <c r="H33" s="15">
        <f>(Sheet1!H34/Sheet1!H33-1)*12</f>
        <v>1.3206157840163071</v>
      </c>
      <c r="I33" s="15">
        <f>(Sheet1!I34/Sheet1!I33-1)*12</f>
        <v>0.66549140453366729</v>
      </c>
      <c r="J33" s="15">
        <f>(Sheet1!J34/Sheet1!J33-1)*12</f>
        <v>0.23498431315626345</v>
      </c>
      <c r="K33" s="16">
        <f>(Sheet1!K34/Sheet1!K33-1)*12</f>
        <v>1.9219714632060336</v>
      </c>
    </row>
    <row r="34" spans="1:11" x14ac:dyDescent="0.2">
      <c r="A34" s="50">
        <v>41548</v>
      </c>
      <c r="B34" s="43">
        <f>(Sheet1!B35/Sheet1!B34-1)*12</f>
        <v>-2.2817308279655002E-2</v>
      </c>
      <c r="C34" s="43">
        <f>(Sheet1!C35/Sheet1!C34-1)*12</f>
        <v>0.6360959754177884</v>
      </c>
      <c r="D34" s="43">
        <f>(Sheet1!D35/Sheet1!D34-1)*12</f>
        <v>-2.3810408921933077</v>
      </c>
      <c r="E34" s="43">
        <f>(Sheet1!E35/Sheet1!E34-1)*12</f>
        <v>0.63264647956149922</v>
      </c>
      <c r="F34" s="43">
        <f>(Sheet1!F35/Sheet1!F34-1)*12</f>
        <v>0.15635786164275256</v>
      </c>
      <c r="G34" s="43">
        <f>(Sheet1!G35/Sheet1!G34-1)*12</f>
        <v>0.76802936195033311</v>
      </c>
      <c r="H34" s="43">
        <f>(Sheet1!H35/Sheet1!H34-1)*12</f>
        <v>0.79051294411447248</v>
      </c>
      <c r="I34" s="43">
        <f>(Sheet1!I35/Sheet1!I34-1)*12</f>
        <v>0.32693613885462813</v>
      </c>
      <c r="J34" s="43">
        <f>(Sheet1!J35/Sheet1!J34-1)*12</f>
        <v>0.45267169016527564</v>
      </c>
      <c r="K34" s="44">
        <f>(Sheet1!K35/Sheet1!K34-1)*12</f>
        <v>0.51541979662398596</v>
      </c>
    </row>
    <row r="35" spans="1:11" x14ac:dyDescent="0.2">
      <c r="A35" s="87">
        <v>41579</v>
      </c>
      <c r="B35" s="15">
        <f>(Sheet1!B36/Sheet1!B35-1)*12</f>
        <v>0.81582405924511292</v>
      </c>
      <c r="C35" s="15">
        <f>(Sheet1!C36/Sheet1!C35-1)*12</f>
        <v>6.0702766451580459E-2</v>
      </c>
      <c r="D35" s="15">
        <f>(Sheet1!D36/Sheet1!D35-1)*12</f>
        <v>0.7304340869565209</v>
      </c>
      <c r="E35" s="15">
        <f>(Sheet1!E36/Sheet1!E35-1)*12</f>
        <v>0.42613550988258009</v>
      </c>
      <c r="F35" s="15">
        <f>(Sheet1!F36/Sheet1!F35-1)*12</f>
        <v>1.5891162725084556</v>
      </c>
      <c r="G35" s="15">
        <f>(Sheet1!G36/Sheet1!G35-1)*12</f>
        <v>0.92177815426476695</v>
      </c>
      <c r="H35" s="15">
        <f>(Sheet1!H36/Sheet1!H35-1)*12</f>
        <v>0.74280089995993404</v>
      </c>
      <c r="I35" s="15">
        <f>(Sheet1!I36/Sheet1!I35-1)*12</f>
        <v>0.57808118082731408</v>
      </c>
      <c r="J35" s="15">
        <f>(Sheet1!J36/Sheet1!J35-1)*12</f>
        <v>0.66606105449162101</v>
      </c>
      <c r="K35" s="16">
        <f>(Sheet1!K36/Sheet1!K35-1)*12</f>
        <v>0.53537219395896063</v>
      </c>
    </row>
    <row r="36" spans="1:11" x14ac:dyDescent="0.2">
      <c r="A36" s="50">
        <v>41609</v>
      </c>
      <c r="B36" s="43">
        <f>(Sheet1!B37/Sheet1!B36-1)*12</f>
        <v>0.73576967551672645</v>
      </c>
      <c r="C36" s="43">
        <f>(Sheet1!C37/Sheet1!C36-1)*12</f>
        <v>-0.41505528976421591</v>
      </c>
      <c r="D36" s="43">
        <f>(Sheet1!D37/Sheet1!D36-1)*12</f>
        <v>-0.66229380668272197</v>
      </c>
      <c r="E36" s="43">
        <f>(Sheet1!E37/Sheet1!E36-1)*12</f>
        <v>0.31214495063554804</v>
      </c>
      <c r="F36" s="43">
        <f>(Sheet1!F37/Sheet1!F36-1)*12</f>
        <v>-0.18963263668089692</v>
      </c>
      <c r="G36" s="43">
        <f>(Sheet1!G37/Sheet1!G36-1)*12</f>
        <v>-0.13730991601962961</v>
      </c>
      <c r="H36" s="43">
        <f>(Sheet1!H37/Sheet1!H36-1)*12</f>
        <v>1.1774284271126341</v>
      </c>
      <c r="I36" s="43">
        <f>(Sheet1!I37/Sheet1!I36-1)*12</f>
        <v>0.66305084406034354</v>
      </c>
      <c r="J36" s="43">
        <f>(Sheet1!J37/Sheet1!J36-1)*12</f>
        <v>-0.34365839906322337</v>
      </c>
      <c r="K36" s="44">
        <f>(Sheet1!K37/Sheet1!K36-1)*12</f>
        <v>-7.58169484699871E-2</v>
      </c>
    </row>
    <row r="37" spans="1:11" x14ac:dyDescent="0.2">
      <c r="A37" s="87">
        <v>41640</v>
      </c>
      <c r="B37" s="15">
        <f>(Sheet1!B38/Sheet1!B37-1)*12</f>
        <v>-0.34152471878138613</v>
      </c>
      <c r="C37" s="15">
        <f>(Sheet1!C38/Sheet1!C37-1)*12</f>
        <v>-1.1128974175959727</v>
      </c>
      <c r="D37" s="15">
        <f>(Sheet1!D38/Sheet1!D37-1)*12</f>
        <v>-1.0688265431563591</v>
      </c>
      <c r="E37" s="15">
        <f>(Sheet1!E38/Sheet1!E37-1)*12</f>
        <v>-0.19317479347924271</v>
      </c>
      <c r="F37" s="15">
        <f>(Sheet1!F38/Sheet1!F37-1)*12</f>
        <v>0.91775520604684679</v>
      </c>
      <c r="G37" s="15">
        <f>(Sheet1!G38/Sheet1!G37-1)*12</f>
        <v>0.13793028655316686</v>
      </c>
      <c r="H37" s="15">
        <f>(Sheet1!H38/Sheet1!H37-1)*12</f>
        <v>-1.1298191498664334</v>
      </c>
      <c r="I37" s="15">
        <f>(Sheet1!I38/Sheet1!I37-1)*12</f>
        <v>-1.4064102805591903</v>
      </c>
      <c r="J37" s="15">
        <f>(Sheet1!J38/Sheet1!J37-1)*12</f>
        <v>-0.54521763679928625</v>
      </c>
      <c r="K37" s="16">
        <f>(Sheet1!K38/Sheet1!K37-1)*12</f>
        <v>-0.84869021612552986</v>
      </c>
    </row>
    <row r="38" spans="1:11" x14ac:dyDescent="0.2">
      <c r="A38" s="50">
        <v>41671</v>
      </c>
      <c r="B38" s="43">
        <f>(Sheet1!B39/Sheet1!B38-1)*12</f>
        <v>0.5212837297356181</v>
      </c>
      <c r="C38" s="43">
        <f>(Sheet1!C39/Sheet1!C38-1)*12</f>
        <v>-2.6997073733036281E-2</v>
      </c>
      <c r="D38" s="43">
        <f>(Sheet1!D39/Sheet1!D38-1)*12</f>
        <v>1.3714278095238086</v>
      </c>
      <c r="E38" s="43">
        <f>(Sheet1!E39/Sheet1!E38-1)*12</f>
        <v>0.56612875594516332</v>
      </c>
      <c r="F38" s="43">
        <f>(Sheet1!F39/Sheet1!F38-1)*12</f>
        <v>-0.1576128063526876</v>
      </c>
      <c r="G38" s="43">
        <f>(Sheet1!G39/Sheet1!G38-1)*12</f>
        <v>0.14905107534317708</v>
      </c>
      <c r="H38" s="43">
        <f>(Sheet1!H39/Sheet1!H38-1)*12</f>
        <v>0.33988799067624509</v>
      </c>
      <c r="I38" s="43">
        <f>(Sheet1!I39/Sheet1!I38-1)*12</f>
        <v>3.9911202769991938E-2</v>
      </c>
      <c r="J38" s="43">
        <f>(Sheet1!J39/Sheet1!J38-1)*12</f>
        <v>3.2152121663022726E-3</v>
      </c>
      <c r="K38" s="44">
        <f>(Sheet1!K39/Sheet1!K38-1)*12</f>
        <v>0.89774022323797809</v>
      </c>
    </row>
    <row r="39" spans="1:11" x14ac:dyDescent="0.2">
      <c r="A39" s="87">
        <v>41699</v>
      </c>
      <c r="B39" s="15">
        <f>(Sheet1!B40/Sheet1!B39-1)*12</f>
        <v>-0.52261596695138612</v>
      </c>
      <c r="C39" s="15">
        <f>(Sheet1!C40/Sheet1!C39-1)*12</f>
        <v>0.45620380109981262</v>
      </c>
      <c r="D39" s="15">
        <f>(Sheet1!D40/Sheet1!D39-1)*12</f>
        <v>1.0735057021940566</v>
      </c>
      <c r="E39" s="15">
        <f>(Sheet1!E40/Sheet1!E39-1)*12</f>
        <v>-0.30631768628953981</v>
      </c>
      <c r="F39" s="15">
        <f>(Sheet1!F40/Sheet1!F39-1)*12</f>
        <v>0.48639016029692872</v>
      </c>
      <c r="G39" s="15">
        <f>(Sheet1!G40/Sheet1!G39-1)*12</f>
        <v>0.9357506708363017</v>
      </c>
      <c r="H39" s="15">
        <f>(Sheet1!H40/Sheet1!H39-1)*12</f>
        <v>-0.46629429250795695</v>
      </c>
      <c r="I39" s="15">
        <f>(Sheet1!I40/Sheet1!I39-1)*12</f>
        <v>-0.59005448134355687</v>
      </c>
      <c r="J39" s="15">
        <f>(Sheet1!J40/Sheet1!J39-1)*12</f>
        <v>0.27790380450274021</v>
      </c>
      <c r="K39" s="16">
        <f>(Sheet1!K40/Sheet1!K39-1)*12</f>
        <v>-0.64570847034588619</v>
      </c>
    </row>
    <row r="40" spans="1:11" x14ac:dyDescent="0.2">
      <c r="A40" s="50">
        <v>41730</v>
      </c>
      <c r="B40" s="43">
        <f>(Sheet1!B41/Sheet1!B40-1)*12</f>
        <v>7.5263658796788313E-2</v>
      </c>
      <c r="C40" s="43">
        <f>(Sheet1!C41/Sheet1!C40-1)*12</f>
        <v>-0.45135159361250787</v>
      </c>
      <c r="D40" s="43">
        <f>(Sheet1!D41/Sheet1!D40-1)*12</f>
        <v>-0.92887149953600945</v>
      </c>
      <c r="E40" s="43">
        <f>(Sheet1!E41/Sheet1!E40-1)*12</f>
        <v>-1.0973264895238088E-2</v>
      </c>
      <c r="F40" s="43">
        <f>(Sheet1!F41/Sheet1!F40-1)*12</f>
        <v>-1.4308942448154114</v>
      </c>
      <c r="G40" s="43">
        <f>(Sheet1!G41/Sheet1!G40-1)*12</f>
        <v>-0.17272561079173832</v>
      </c>
      <c r="H40" s="43">
        <f>(Sheet1!H41/Sheet1!H40-1)*12</f>
        <v>-0.18473644000207745</v>
      </c>
      <c r="I40" s="43">
        <f>(Sheet1!I41/Sheet1!I40-1)*12</f>
        <v>0.12764619092062635</v>
      </c>
      <c r="J40" s="43">
        <f>(Sheet1!J41/Sheet1!J40-1)*12</f>
        <v>0.59572566450281528</v>
      </c>
      <c r="K40" s="44">
        <f>(Sheet1!K41/Sheet1!K40-1)*12</f>
        <v>-0.14785228882065971</v>
      </c>
    </row>
    <row r="41" spans="1:11" x14ac:dyDescent="0.2">
      <c r="A41" s="87">
        <v>41760</v>
      </c>
      <c r="B41" s="15">
        <f>(Sheet1!B42/Sheet1!B41-1)*12</f>
        <v>0.33046269001478823</v>
      </c>
      <c r="C41" s="15">
        <f>(Sheet1!C42/Sheet1!C41-1)*12</f>
        <v>0.44520200905279772</v>
      </c>
      <c r="D41" s="15">
        <f>(Sheet1!D42/Sheet1!D41-1)*12</f>
        <v>-0.99319665494312037</v>
      </c>
      <c r="E41" s="15">
        <f>(Sheet1!E42/Sheet1!E41-1)*12</f>
        <v>0.53827844771238276</v>
      </c>
      <c r="F41" s="15">
        <f>(Sheet1!F42/Sheet1!F41-1)*12</f>
        <v>0</v>
      </c>
      <c r="G41" s="15">
        <f>(Sheet1!G42/Sheet1!G41-1)*12</f>
        <v>0.16039410163273704</v>
      </c>
      <c r="H41" s="15">
        <f>(Sheet1!H42/Sheet1!H41-1)*12</f>
        <v>0.49218677372920983</v>
      </c>
      <c r="I41" s="15">
        <f>(Sheet1!I42/Sheet1!I41-1)*12</f>
        <v>3.4801627494831067E-2</v>
      </c>
      <c r="J41" s="15">
        <f>(Sheet1!J42/Sheet1!J41-1)*12</f>
        <v>-0.44260272777007703</v>
      </c>
      <c r="K41" s="16">
        <f>(Sheet1!K42/Sheet1!K41-1)*12</f>
        <v>0.6514090235902632</v>
      </c>
    </row>
    <row r="42" spans="1:11" x14ac:dyDescent="0.2">
      <c r="A42" s="50">
        <v>41791</v>
      </c>
      <c r="B42" s="43">
        <f>(Sheet1!B43/Sheet1!B42-1)*12</f>
        <v>-8.9871211057316991E-2</v>
      </c>
      <c r="C42" s="43">
        <f>(Sheet1!C43/Sheet1!C42-1)*12</f>
        <v>0.72496628262096063</v>
      </c>
      <c r="D42" s="43">
        <f>(Sheet1!D43/Sheet1!D42-1)*12</f>
        <v>0.43757725587144591</v>
      </c>
      <c r="E42" s="43">
        <f>(Sheet1!E43/Sheet1!E42-1)*12</f>
        <v>0.3416959367053396</v>
      </c>
      <c r="F42" s="43">
        <f>(Sheet1!F43/Sheet1!F42-1)*12</f>
        <v>0.18229706100316001</v>
      </c>
      <c r="G42" s="43">
        <f>(Sheet1!G43/Sheet1!G42-1)*12</f>
        <v>0.30899177424622781</v>
      </c>
      <c r="H42" s="43">
        <f>(Sheet1!H43/Sheet1!H42-1)*12</f>
        <v>-0.46775743896047439</v>
      </c>
      <c r="I42" s="43">
        <f>(Sheet1!I43/Sheet1!I42-1)*12</f>
        <v>0.5968781214122254</v>
      </c>
      <c r="J42" s="43">
        <f>(Sheet1!J43/Sheet1!J42-1)*12</f>
        <v>-0.1930839166512972</v>
      </c>
      <c r="K42" s="44">
        <f>(Sheet1!K43/Sheet1!K42-1)*12</f>
        <v>0.13805074943212148</v>
      </c>
    </row>
    <row r="43" spans="1:11" x14ac:dyDescent="0.2">
      <c r="A43" s="87">
        <v>41821</v>
      </c>
      <c r="B43" s="15">
        <f>(Sheet1!B44/Sheet1!B43-1)*12</f>
        <v>-0.23156586317697281</v>
      </c>
      <c r="C43" s="15">
        <f>(Sheet1!C44/Sheet1!C43-1)*12</f>
        <v>4.6526276020546931E-2</v>
      </c>
      <c r="D43" s="15">
        <f>(Sheet1!D44/Sheet1!D43-1)*12</f>
        <v>1.1878354203935606</v>
      </c>
      <c r="E43" s="15">
        <f>(Sheet1!E44/Sheet1!E43-1)*12</f>
        <v>0.17446099360162748</v>
      </c>
      <c r="F43" s="15">
        <f>(Sheet1!F44/Sheet1!F43-1)*12</f>
        <v>-8.6024382661300525E-2</v>
      </c>
      <c r="G43" s="15">
        <f>(Sheet1!G44/Sheet1!G43-1)*12</f>
        <v>0.42014409950113318</v>
      </c>
      <c r="H43" s="15">
        <f>(Sheet1!H44/Sheet1!H43-1)*12</f>
        <v>0.11106853191435118</v>
      </c>
      <c r="I43" s="15">
        <f>(Sheet1!I44/Sheet1!I43-1)*12</f>
        <v>-0.7265931205427707</v>
      </c>
      <c r="J43" s="15">
        <f>(Sheet1!J44/Sheet1!J43-1)*12</f>
        <v>-0.23817505399183858</v>
      </c>
      <c r="K43" s="16">
        <f>(Sheet1!K44/Sheet1!K43-1)*12</f>
        <v>-6.4994801624400189E-2</v>
      </c>
    </row>
    <row r="44" spans="1:11" x14ac:dyDescent="0.2">
      <c r="A44" s="50">
        <v>41852</v>
      </c>
      <c r="B44" s="43">
        <f>(Sheet1!B45/Sheet1!B44-1)*12</f>
        <v>0.26942418004916657</v>
      </c>
      <c r="C44" s="43">
        <f>(Sheet1!C45/Sheet1!C44-1)*12</f>
        <v>2.0082717682125661E-2</v>
      </c>
      <c r="D44" s="43">
        <f>(Sheet1!D45/Sheet1!D44-1)*12</f>
        <v>0.44275702658708571</v>
      </c>
      <c r="E44" s="43">
        <f>(Sheet1!E45/Sheet1!E44-1)*12</f>
        <v>0.60113815268558657</v>
      </c>
      <c r="F44" s="43">
        <f>(Sheet1!F45/Sheet1!F44-1)*12</f>
        <v>0.66097995107330565</v>
      </c>
      <c r="G44" s="43">
        <f>(Sheet1!G45/Sheet1!G44-1)*12</f>
        <v>0.6311412740975868</v>
      </c>
      <c r="H44" s="43">
        <f>(Sheet1!H45/Sheet1!H44-1)*12</f>
        <v>0.28625249486330873</v>
      </c>
      <c r="I44" s="43">
        <f>(Sheet1!I45/Sheet1!I44-1)*12</f>
        <v>0.34772331380813437</v>
      </c>
      <c r="J44" s="43">
        <f>(Sheet1!J45/Sheet1!J44-1)*12</f>
        <v>0.3131263619791218</v>
      </c>
      <c r="K44" s="44">
        <f>(Sheet1!K45/Sheet1!K44-1)*12</f>
        <v>0.2209304255836102</v>
      </c>
    </row>
    <row r="45" spans="1:11" x14ac:dyDescent="0.2">
      <c r="A45" s="87">
        <v>41883</v>
      </c>
      <c r="B45" s="15">
        <f>(Sheet1!B46/Sheet1!B45-1)*12</f>
        <v>3.8492044490385346E-2</v>
      </c>
      <c r="C45" s="15">
        <f>(Sheet1!C46/Sheet1!C45-1)*12</f>
        <v>-0.32326135203480888</v>
      </c>
      <c r="D45" s="15">
        <f>(Sheet1!D46/Sheet1!D45-1)*12</f>
        <v>-0.67189949388281045</v>
      </c>
      <c r="E45" s="15">
        <f>(Sheet1!E46/Sheet1!E45-1)*12</f>
        <v>-0.11906370850898718</v>
      </c>
      <c r="F45" s="15">
        <f>(Sheet1!F46/Sheet1!F45-1)*12</f>
        <v>0.71597623958931145</v>
      </c>
      <c r="G45" s="15">
        <f>(Sheet1!G46/Sheet1!G45-1)*12</f>
        <v>0.32213475349258491</v>
      </c>
      <c r="H45" s="15">
        <f>(Sheet1!H46/Sheet1!H45-1)*12</f>
        <v>-0.29916624401835312</v>
      </c>
      <c r="I45" s="15">
        <f>(Sheet1!I46/Sheet1!I45-1)*12</f>
        <v>-0.98620435034022202</v>
      </c>
      <c r="J45" s="15">
        <f>(Sheet1!J46/Sheet1!J45-1)*12</f>
        <v>0.23424449343922049</v>
      </c>
      <c r="K45" s="16">
        <f>(Sheet1!K46/Sheet1!K45-1)*12</f>
        <v>1.6681375441244715</v>
      </c>
    </row>
    <row r="46" spans="1:11" x14ac:dyDescent="0.2">
      <c r="A46" s="50">
        <v>41913</v>
      </c>
      <c r="B46" s="43">
        <f>(Sheet1!B47/Sheet1!B46-1)*12</f>
        <v>-2.951178917624464E-2</v>
      </c>
      <c r="C46" s="43">
        <f>(Sheet1!C47/Sheet1!C46-1)*12</f>
        <v>1.5898973737647815E-2</v>
      </c>
      <c r="D46" s="43">
        <f>(Sheet1!D47/Sheet1!D46-1)*12</f>
        <v>1.1840347458960778</v>
      </c>
      <c r="E46" s="43">
        <f>(Sheet1!E47/Sheet1!E46-1)*12</f>
        <v>0.34634045454644991</v>
      </c>
      <c r="F46" s="43">
        <f>(Sheet1!F47/Sheet1!F46-1)*12</f>
        <v>0.11465068885250407</v>
      </c>
      <c r="G46" s="43">
        <f>(Sheet1!G47/Sheet1!G46-1)*12</f>
        <v>0.15271630956892324</v>
      </c>
      <c r="H46" s="43">
        <f>(Sheet1!H47/Sheet1!H46-1)*12</f>
        <v>1.5957789181643482</v>
      </c>
      <c r="I46" s="43">
        <f>(Sheet1!I47/Sheet1!I46-1)*12</f>
        <v>-9.9641147720441303E-2</v>
      </c>
      <c r="J46" s="43">
        <f>(Sheet1!J47/Sheet1!J46-1)*12</f>
        <v>-3.1380633206635533E-2</v>
      </c>
      <c r="K46" s="44">
        <f>(Sheet1!K47/Sheet1!K46-1)*12</f>
        <v>0.50717361747997014</v>
      </c>
    </row>
    <row r="47" spans="1:11" x14ac:dyDescent="0.2">
      <c r="A47" s="87">
        <v>41944</v>
      </c>
      <c r="B47" s="15">
        <f>(Sheet1!B48/Sheet1!B47-1)*12</f>
        <v>0.94404400804814959</v>
      </c>
      <c r="C47" s="15">
        <f>(Sheet1!C48/Sheet1!C47-1)*12</f>
        <v>0.8972996838364411</v>
      </c>
      <c r="D47" s="15">
        <f>(Sheet1!D48/Sheet1!D47-1)*12</f>
        <v>1.3138244197780002</v>
      </c>
      <c r="E47" s="15">
        <f>(Sheet1!E48/Sheet1!E47-1)*12</f>
        <v>0.54556272072204326</v>
      </c>
      <c r="F47" s="15">
        <f>(Sheet1!F48/Sheet1!F47-1)*12</f>
        <v>-8.3918852884395712E-2</v>
      </c>
      <c r="G47" s="15">
        <f>(Sheet1!G48/Sheet1!G47-1)*12</f>
        <v>0.21981177893234527</v>
      </c>
      <c r="H47" s="15">
        <f>(Sheet1!H48/Sheet1!H47-1)*12</f>
        <v>0.52571527396592543</v>
      </c>
      <c r="I47" s="15">
        <f>(Sheet1!I48/Sheet1!I47-1)*12</f>
        <v>0.77579614427763843</v>
      </c>
      <c r="J47" s="15">
        <f>(Sheet1!J48/Sheet1!J47-1)*12</f>
        <v>1.7731702732651069</v>
      </c>
      <c r="K47" s="16">
        <f>(Sheet1!K48/Sheet1!K47-1)*12</f>
        <v>0.81574708832327936</v>
      </c>
    </row>
    <row r="48" spans="1:11" x14ac:dyDescent="0.2">
      <c r="A48" s="50">
        <v>41974</v>
      </c>
      <c r="B48" s="43">
        <f>(Sheet1!B49/Sheet1!B48-1)*12</f>
        <v>0.41422266003975761</v>
      </c>
      <c r="C48" s="43">
        <f>(Sheet1!C49/Sheet1!C48-1)*12</f>
        <v>0.17420322935428345</v>
      </c>
      <c r="D48" s="43">
        <f>(Sheet1!D49/Sheet1!D48-1)*12</f>
        <v>-0.82946848567530607</v>
      </c>
      <c r="E48" s="43">
        <f>(Sheet1!E49/Sheet1!E48-1)*12</f>
        <v>-0.31242362124580625</v>
      </c>
      <c r="F48" s="43">
        <f>(Sheet1!F49/Sheet1!F48-1)*12</f>
        <v>0.5985895074176204</v>
      </c>
      <c r="G48" s="43">
        <f>(Sheet1!G49/Sheet1!G48-1)*12</f>
        <v>-0.26782239225612248</v>
      </c>
      <c r="H48" s="43">
        <f>(Sheet1!H49/Sheet1!H48-1)*12</f>
        <v>-0.1553462045052707</v>
      </c>
      <c r="I48" s="43">
        <f>(Sheet1!I49/Sheet1!I48-1)*12</f>
        <v>0.5312593014553304</v>
      </c>
      <c r="J48" s="43">
        <f>(Sheet1!J49/Sheet1!J48-1)*12</f>
        <v>-0.22755284679287069</v>
      </c>
      <c r="K48" s="44">
        <f>(Sheet1!K49/Sheet1!K48-1)*12</f>
        <v>-0.37949355122014072</v>
      </c>
    </row>
    <row r="49" spans="1:11" x14ac:dyDescent="0.2">
      <c r="A49" s="87">
        <v>42005</v>
      </c>
      <c r="B49" s="15">
        <f>(Sheet1!B50/Sheet1!B49-1)*12</f>
        <v>-0.7094375238191124</v>
      </c>
      <c r="C49" s="15">
        <f>(Sheet1!C50/Sheet1!C49-1)*12</f>
        <v>0.80146028875254594</v>
      </c>
      <c r="D49" s="15">
        <f>(Sheet1!D50/Sheet1!D49-1)*12</f>
        <v>1.6531522058208195</v>
      </c>
      <c r="E49" s="15">
        <f>(Sheet1!E50/Sheet1!E49-1)*12</f>
        <v>-0.20609845606717903</v>
      </c>
      <c r="F49" s="15">
        <f>(Sheet1!F50/Sheet1!F49-1)*12</f>
        <v>-1.8081832962515483</v>
      </c>
      <c r="G49" s="15">
        <f>(Sheet1!G50/Sheet1!G49-1)*12</f>
        <v>-1.562967327636124</v>
      </c>
      <c r="H49" s="15">
        <f>(Sheet1!H50/Sheet1!H49-1)*12</f>
        <v>-0.57520973776365203</v>
      </c>
      <c r="I49" s="15">
        <f>(Sheet1!I50/Sheet1!I49-1)*12</f>
        <v>-0.68713977618517985</v>
      </c>
      <c r="J49" s="15">
        <f>(Sheet1!J50/Sheet1!J49-1)*12</f>
        <v>-5.9418280336268836E-2</v>
      </c>
      <c r="K49" s="16">
        <f>(Sheet1!K50/Sheet1!K49-1)*12</f>
        <v>-0.45363798168463143</v>
      </c>
    </row>
    <row r="50" spans="1:11" x14ac:dyDescent="0.2">
      <c r="A50" s="50">
        <v>42036</v>
      </c>
      <c r="B50" s="43">
        <f>(Sheet1!B51/Sheet1!B50-1)*12</f>
        <v>0.85683459534481976</v>
      </c>
      <c r="C50" s="43">
        <f>(Sheet1!C51/Sheet1!C50-1)*12</f>
        <v>0.81709157289125844</v>
      </c>
      <c r="D50" s="43">
        <f>(Sheet1!D51/Sheet1!D50-1)*12</f>
        <v>2.5916696182194237</v>
      </c>
      <c r="E50" s="43">
        <f>(Sheet1!E51/Sheet1!E50-1)*12</f>
        <v>0.86647091888531147</v>
      </c>
      <c r="F50" s="43">
        <f>(Sheet1!F51/Sheet1!F50-1)*12</f>
        <v>0.5227742084757061</v>
      </c>
      <c r="G50" s="43">
        <f>(Sheet1!G51/Sheet1!G50-1)*12</f>
        <v>1.0247513445916487</v>
      </c>
      <c r="H50" s="43">
        <f>(Sheet1!H51/Sheet1!H50-1)*12</f>
        <v>1.2103690378122156</v>
      </c>
      <c r="I50" s="43">
        <f>(Sheet1!I51/Sheet1!I50-1)*12</f>
        <v>1.7253218736142637</v>
      </c>
      <c r="J50" s="43">
        <f>(Sheet1!J51/Sheet1!J50-1)*12</f>
        <v>-0.1482706553301183</v>
      </c>
      <c r="K50" s="44">
        <f>(Sheet1!K51/Sheet1!K50-1)*12</f>
        <v>0.63349843527181182</v>
      </c>
    </row>
    <row r="51" spans="1:11" x14ac:dyDescent="0.2">
      <c r="A51" s="87">
        <v>42064</v>
      </c>
      <c r="B51" s="15">
        <f>(Sheet1!B52/Sheet1!B51-1)*12</f>
        <v>0.48783844017344524</v>
      </c>
      <c r="C51" s="15">
        <f>(Sheet1!C52/Sheet1!C51-1)*12</f>
        <v>0.19967788654745089</v>
      </c>
      <c r="D51" s="15">
        <f>(Sheet1!D52/Sheet1!D51-1)*12</f>
        <v>-0.65254194915254304</v>
      </c>
      <c r="E51" s="15">
        <f>(Sheet1!E52/Sheet1!E51-1)*12</f>
        <v>-0.30996420358481114</v>
      </c>
      <c r="F51" s="15">
        <f>(Sheet1!F52/Sheet1!F51-1)*12</f>
        <v>-0.31878678470429245</v>
      </c>
      <c r="G51" s="15">
        <f>(Sheet1!G52/Sheet1!G51-1)*12</f>
        <v>-0.79378917581828423</v>
      </c>
      <c r="H51" s="15">
        <f>(Sheet1!H52/Sheet1!H51-1)*12</f>
        <v>-0.49794198846867177</v>
      </c>
      <c r="I51" s="15">
        <f>(Sheet1!I52/Sheet1!I51-1)*12</f>
        <v>6.1109655049640388E-2</v>
      </c>
      <c r="J51" s="15">
        <f>(Sheet1!J52/Sheet1!J51-1)*12</f>
        <v>-0.24020421978009088</v>
      </c>
      <c r="K51" s="16">
        <f>(Sheet1!K52/Sheet1!K51-1)*12</f>
        <v>0.43257980343291091</v>
      </c>
    </row>
    <row r="52" spans="1:11" x14ac:dyDescent="0.2">
      <c r="A52" s="50">
        <v>42095</v>
      </c>
      <c r="B52" s="43">
        <f>(Sheet1!B53/Sheet1!B52-1)*12</f>
        <v>-0.13320433562450607</v>
      </c>
      <c r="C52" s="43">
        <f>(Sheet1!C53/Sheet1!C52-1)*12</f>
        <v>0.56515465004337173</v>
      </c>
      <c r="D52" s="43">
        <f>(Sheet1!D53/Sheet1!D52-1)*12</f>
        <v>1.5459292925343817</v>
      </c>
      <c r="E52" s="43">
        <f>(Sheet1!E53/Sheet1!E52-1)*12</f>
        <v>0.25880972382366441</v>
      </c>
      <c r="F52" s="43">
        <f>(Sheet1!F53/Sheet1!F52-1)*12</f>
        <v>0.45989332737433664</v>
      </c>
      <c r="G52" s="43">
        <f>(Sheet1!G53/Sheet1!G52-1)*12</f>
        <v>2.3551388365611414</v>
      </c>
      <c r="H52" s="43">
        <f>(Sheet1!H53/Sheet1!H52-1)*12</f>
        <v>0.53061570992731255</v>
      </c>
      <c r="I52" s="43">
        <f>(Sheet1!I53/Sheet1!I52-1)*12</f>
        <v>-0.68868820513517726</v>
      </c>
      <c r="J52" s="43">
        <f>(Sheet1!J53/Sheet1!J52-1)*12</f>
        <v>-0.54436651248055856</v>
      </c>
      <c r="K52" s="44">
        <f>(Sheet1!K53/Sheet1!K52-1)*12</f>
        <v>-0.17821475764095229</v>
      </c>
    </row>
    <row r="53" spans="1:11" x14ac:dyDescent="0.2">
      <c r="A53" s="87">
        <v>42125</v>
      </c>
      <c r="B53" s="15">
        <f>(Sheet1!B54/Sheet1!B53-1)*12</f>
        <v>0.57210995088795524</v>
      </c>
      <c r="C53" s="15">
        <f>(Sheet1!C54/Sheet1!C53-1)*12</f>
        <v>0.57603791829690287</v>
      </c>
      <c r="D53" s="15">
        <f>(Sheet1!D54/Sheet1!D53-1)*12</f>
        <v>0.27390009923916736</v>
      </c>
      <c r="E53" s="15">
        <f>(Sheet1!E54/Sheet1!E53-1)*12</f>
        <v>0.26981432166970976</v>
      </c>
      <c r="F53" s="15">
        <f>(Sheet1!F54/Sheet1!F53-1)*12</f>
        <v>0.42937622467254055</v>
      </c>
      <c r="G53" s="15">
        <f>(Sheet1!G54/Sheet1!G53-1)*12</f>
        <v>-0.43914262833708584</v>
      </c>
      <c r="H53" s="15">
        <f>(Sheet1!H54/Sheet1!H53-1)*12</f>
        <v>0.29522129566168953</v>
      </c>
      <c r="I53" s="15">
        <f>(Sheet1!I54/Sheet1!I53-1)*12</f>
        <v>0.31146367949082077</v>
      </c>
      <c r="J53" s="15">
        <f>(Sheet1!J54/Sheet1!J53-1)*12</f>
        <v>-0.58116711134463017</v>
      </c>
      <c r="K53" s="16">
        <f>(Sheet1!K54/Sheet1!K53-1)*12</f>
        <v>0.34358680706344291</v>
      </c>
    </row>
    <row r="54" spans="1:11" x14ac:dyDescent="0.2">
      <c r="A54" s="50">
        <v>42156</v>
      </c>
      <c r="B54" s="43">
        <f>(Sheet1!B55/Sheet1!B54-1)*12</f>
        <v>9.246067643477307E-2</v>
      </c>
      <c r="C54" s="43">
        <f>(Sheet1!C55/Sheet1!C54-1)*12</f>
        <v>0.4227720966170212</v>
      </c>
      <c r="D54" s="43">
        <f>(Sheet1!D55/Sheet1!D54-1)*12</f>
        <v>-0.9818891332470896</v>
      </c>
      <c r="E54" s="43">
        <f>(Sheet1!E55/Sheet1!E54-1)*12</f>
        <v>-0.32494442351952113</v>
      </c>
      <c r="F54" s="43">
        <f>(Sheet1!F55/Sheet1!F54-1)*12</f>
        <v>0.3781845681928715</v>
      </c>
      <c r="G54" s="43">
        <f>(Sheet1!G55/Sheet1!G54-1)*12</f>
        <v>-0.62050499700056427</v>
      </c>
      <c r="H54" s="43">
        <f>(Sheet1!H55/Sheet1!H54-1)*12</f>
        <v>0.1586816798588444</v>
      </c>
      <c r="I54" s="43">
        <f>(Sheet1!I55/Sheet1!I54-1)*12</f>
        <v>-0.88073322795565456</v>
      </c>
      <c r="J54" s="43">
        <f>(Sheet1!J55/Sheet1!J54-1)*12</f>
        <v>-0.46732474668537805</v>
      </c>
      <c r="K54" s="44">
        <f>(Sheet1!K55/Sheet1!K54-1)*12</f>
        <v>0.7842924329287646</v>
      </c>
    </row>
    <row r="55" spans="1:11" x14ac:dyDescent="0.2">
      <c r="A55" s="87">
        <v>42186</v>
      </c>
      <c r="B55" s="15">
        <f>(Sheet1!B56/Sheet1!B55-1)*12</f>
        <v>0.78487178434692684</v>
      </c>
      <c r="C55" s="15">
        <f>(Sheet1!C56/Sheet1!C55-1)*12</f>
        <v>0.96456566086183404</v>
      </c>
      <c r="D55" s="15">
        <f>(Sheet1!D56/Sheet1!D55-1)*12</f>
        <v>-1.6906939658574593E-2</v>
      </c>
      <c r="E55" s="15">
        <f>(Sheet1!E56/Sheet1!E55-1)*12</f>
        <v>0.57579005708062869</v>
      </c>
      <c r="F55" s="15">
        <f>(Sheet1!F56/Sheet1!F55-1)*12</f>
        <v>0.64415985010970456</v>
      </c>
      <c r="G55" s="15">
        <f>(Sheet1!G56/Sheet1!G55-1)*12</f>
        <v>0.69309404678539899</v>
      </c>
      <c r="H55" s="15">
        <f>(Sheet1!H56/Sheet1!H55-1)*12</f>
        <v>0.50321100813485753</v>
      </c>
      <c r="I55" s="15">
        <f>(Sheet1!I56/Sheet1!I55-1)*12</f>
        <v>-0.53776791873604202</v>
      </c>
      <c r="J55" s="15">
        <f>(Sheet1!J56/Sheet1!J55-1)*12</f>
        <v>0.17764398375463486</v>
      </c>
      <c r="K55" s="16">
        <f>(Sheet1!K56/Sheet1!K55-1)*12</f>
        <v>0.79985028467728725</v>
      </c>
    </row>
    <row r="56" spans="1:11" x14ac:dyDescent="0.2">
      <c r="A56" s="50">
        <v>42217</v>
      </c>
      <c r="B56" s="43">
        <f>(Sheet1!B57/Sheet1!B56-1)*12</f>
        <v>-1.0288055267302321</v>
      </c>
      <c r="C56" s="43">
        <f>(Sheet1!C57/Sheet1!C56-1)*12</f>
        <v>-0.66701189221252122</v>
      </c>
      <c r="D56" s="43">
        <f>(Sheet1!D57/Sheet1!D56-1)*12</f>
        <v>-1.087830264550266</v>
      </c>
      <c r="E56" s="43">
        <f>(Sheet1!E57/Sheet1!E56-1)*12</f>
        <v>-0.81893642201910177</v>
      </c>
      <c r="F56" s="43">
        <f>(Sheet1!F57/Sheet1!F56-1)*12</f>
        <v>-1.0335598625825431</v>
      </c>
      <c r="G56" s="43">
        <f>(Sheet1!G57/Sheet1!G56-1)*12</f>
        <v>-0.81713509799196871</v>
      </c>
      <c r="H56" s="43">
        <f>(Sheet1!H57/Sheet1!H56-1)*12</f>
        <v>-0.6004169119463012</v>
      </c>
      <c r="I56" s="43">
        <f>(Sheet1!I57/Sheet1!I56-1)*12</f>
        <v>-0.78832396765517165</v>
      </c>
      <c r="J56" s="43">
        <f>(Sheet1!J57/Sheet1!J56-1)*12</f>
        <v>-1.2086704917622049</v>
      </c>
      <c r="K56" s="44">
        <f>(Sheet1!K57/Sheet1!K56-1)*12</f>
        <v>-0.36139560015363958</v>
      </c>
    </row>
    <row r="57" spans="1:11" x14ac:dyDescent="0.2">
      <c r="A57" s="87">
        <v>42248</v>
      </c>
      <c r="B57" s="15">
        <f>(Sheet1!B58/Sheet1!B57-1)*12</f>
        <v>0.50790609394424191</v>
      </c>
      <c r="C57" s="15">
        <f>(Sheet1!C58/Sheet1!C57-1)*12</f>
        <v>0.50156439780342055</v>
      </c>
      <c r="D57" s="15">
        <f>(Sheet1!D58/Sheet1!D57-1)*12</f>
        <v>-0.59581114833936466</v>
      </c>
      <c r="E57" s="15">
        <f>(Sheet1!E58/Sheet1!E57-1)*12</f>
        <v>-0.29335421701296616</v>
      </c>
      <c r="F57" s="15">
        <f>(Sheet1!F58/Sheet1!F57-1)*12</f>
        <v>-0.55814041131148828</v>
      </c>
      <c r="G57" s="15">
        <f>(Sheet1!G58/Sheet1!G57-1)*12</f>
        <v>0.28452318516267638</v>
      </c>
      <c r="H57" s="15">
        <f>(Sheet1!H58/Sheet1!H57-1)*12</f>
        <v>-0.29230307007508793</v>
      </c>
      <c r="I57" s="15">
        <f>(Sheet1!I58/Sheet1!I57-1)*12</f>
        <v>0.23641169314769339</v>
      </c>
      <c r="J57" s="15">
        <f>(Sheet1!J58/Sheet1!J57-1)*12</f>
        <v>0.10246989037308563</v>
      </c>
      <c r="K57" s="16">
        <f>(Sheet1!K58/Sheet1!K57-1)*12</f>
        <v>1.2048326733787897</v>
      </c>
    </row>
    <row r="58" spans="1:11" x14ac:dyDescent="0.2">
      <c r="A58" s="50">
        <v>42278</v>
      </c>
      <c r="B58" s="43">
        <f>(Sheet1!B59/Sheet1!B58-1)*12</f>
        <v>1.09179566515916</v>
      </c>
      <c r="C58" s="43">
        <f>(Sheet1!C59/Sheet1!C58-1)*12</f>
        <v>1.2097125742957893</v>
      </c>
      <c r="D58" s="43">
        <f>(Sheet1!D59/Sheet1!D58-1)*12</f>
        <v>1.910204081632652</v>
      </c>
      <c r="E58" s="43">
        <f>(Sheet1!E59/Sheet1!E58-1)*12</f>
        <v>1.3968992215894147</v>
      </c>
      <c r="F58" s="43">
        <f>(Sheet1!F59/Sheet1!F58-1)*12</f>
        <v>0.96587337900161252</v>
      </c>
      <c r="G58" s="43">
        <f>(Sheet1!G59/Sheet1!G58-1)*12</f>
        <v>2.2720291594011925</v>
      </c>
      <c r="H58" s="43">
        <f>(Sheet1!H59/Sheet1!H58-1)*12</f>
        <v>1.1810919066589278</v>
      </c>
      <c r="I58" s="43">
        <f>(Sheet1!I59/Sheet1!I58-1)*12</f>
        <v>2.1263905810606598</v>
      </c>
      <c r="J58" s="43">
        <f>(Sheet1!J59/Sheet1!J58-1)*12</f>
        <v>-1.4065387674580974</v>
      </c>
      <c r="K58" s="44">
        <f>(Sheet1!K59/Sheet1!K58-1)*12</f>
        <v>0.81895758721894385</v>
      </c>
    </row>
    <row r="59" spans="1:11" x14ac:dyDescent="0.2">
      <c r="A59" s="87">
        <v>42309</v>
      </c>
      <c r="B59" s="15">
        <f>(Sheet1!B60/Sheet1!B59-1)*12</f>
        <v>0.13119475343925568</v>
      </c>
      <c r="C59" s="15">
        <f>(Sheet1!C60/Sheet1!C59-1)*12</f>
        <v>-0.22630854120851485</v>
      </c>
      <c r="D59" s="15">
        <f>(Sheet1!D60/Sheet1!D59-1)*12</f>
        <v>-1.0478873239436606</v>
      </c>
      <c r="E59" s="15">
        <f>(Sheet1!E60/Sheet1!E59-1)*12</f>
        <v>7.3060110221311092E-2</v>
      </c>
      <c r="F59" s="15">
        <f>(Sheet1!F60/Sheet1!F59-1)*12</f>
        <v>0.46483932448157717</v>
      </c>
      <c r="G59" s="15">
        <f>(Sheet1!G60/Sheet1!G59-1)*12</f>
        <v>0.38981878723169938</v>
      </c>
      <c r="H59" s="15">
        <f>(Sheet1!H60/Sheet1!H59-1)*12</f>
        <v>-0.10945505805035616</v>
      </c>
      <c r="I59" s="15">
        <f>(Sheet1!I60/Sheet1!I59-1)*12</f>
        <v>0.44342500511339633</v>
      </c>
      <c r="J59" s="15">
        <f>(Sheet1!J60/Sheet1!J59-1)*12</f>
        <v>0.33543034859212373</v>
      </c>
      <c r="K59" s="16">
        <f>(Sheet1!K60/Sheet1!K59-1)*12</f>
        <v>0.11447805046748449</v>
      </c>
    </row>
    <row r="60" spans="1:11" x14ac:dyDescent="0.2">
      <c r="A60" s="50">
        <v>42339</v>
      </c>
      <c r="B60" s="43">
        <f>(Sheet1!B61/Sheet1!B60-1)*12</f>
        <v>-0.30441941917131077</v>
      </c>
      <c r="C60" s="43">
        <f>(Sheet1!C61/Sheet1!C60-1)*12</f>
        <v>-0.22784829730778533</v>
      </c>
      <c r="D60" s="43">
        <f>(Sheet1!D61/Sheet1!D60-1)*12</f>
        <v>-0.60648101851851921</v>
      </c>
      <c r="E60" s="43">
        <f>(Sheet1!E61/Sheet1!E60-1)*12</f>
        <v>-0.22732638074339873</v>
      </c>
      <c r="F60" s="43">
        <f>(Sheet1!F61/Sheet1!F60-1)*12</f>
        <v>-0.41308368321518252</v>
      </c>
      <c r="G60" s="43">
        <f>(Sheet1!G61/Sheet1!G60-1)*12</f>
        <v>0.332057804409982</v>
      </c>
      <c r="H60" s="43">
        <f>(Sheet1!H61/Sheet1!H60-1)*12</f>
        <v>-6.862752754846646E-2</v>
      </c>
      <c r="I60" s="43">
        <f>(Sheet1!I61/Sheet1!I60-1)*12</f>
        <v>-0.72596479459395491</v>
      </c>
      <c r="J60" s="43">
        <f>(Sheet1!J61/Sheet1!J60-1)*12</f>
        <v>0.50169817057173116</v>
      </c>
      <c r="K60" s="44">
        <f>(Sheet1!K61/Sheet1!K60-1)*12</f>
        <v>-0.66041884807668394</v>
      </c>
    </row>
    <row r="61" spans="1:11" x14ac:dyDescent="0.2">
      <c r="A61" s="87">
        <v>42370</v>
      </c>
      <c r="B61" s="15">
        <f>(Sheet1!B62/Sheet1!B61-1)*12</f>
        <v>0.11942459857545273</v>
      </c>
      <c r="C61" s="15">
        <f>(Sheet1!C62/Sheet1!C61-1)*12</f>
        <v>0.14792683204621859</v>
      </c>
      <c r="D61" s="15">
        <f>(Sheet1!D62/Sheet1!D61-1)*12</f>
        <v>-0.35595382543869025</v>
      </c>
      <c r="E61" s="15">
        <f>(Sheet1!E62/Sheet1!E61-1)*12</f>
        <v>-0.7951349696761838</v>
      </c>
      <c r="F61" s="15">
        <f>(Sheet1!F62/Sheet1!F61-1)*12</f>
        <v>-1.8896181110262238</v>
      </c>
      <c r="G61" s="15">
        <f>(Sheet1!G62/Sheet1!G61-1)*12</f>
        <v>-8.4354338444259547E-2</v>
      </c>
      <c r="H61" s="15">
        <f>(Sheet1!H62/Sheet1!H61-1)*12</f>
        <v>-1.026704012033441</v>
      </c>
      <c r="I61" s="15">
        <f>(Sheet1!I62/Sheet1!I61-1)*12</f>
        <v>-1.431752113755278</v>
      </c>
      <c r="J61" s="15">
        <f>(Sheet1!J62/Sheet1!J61-1)*12</f>
        <v>1.0993500149960642</v>
      </c>
      <c r="K61" s="16">
        <f>(Sheet1!K62/Sheet1!K61-1)*12</f>
        <v>-6.5217636378441135E-2</v>
      </c>
    </row>
    <row r="62" spans="1:11" x14ac:dyDescent="0.2">
      <c r="A62" s="50">
        <v>42401</v>
      </c>
      <c r="B62" s="43">
        <f>(Sheet1!B63/Sheet1!B62-1)*12</f>
        <v>-0.60034170129876196</v>
      </c>
      <c r="C62" s="43">
        <f>(Sheet1!C63/Sheet1!C62-1)*12</f>
        <v>-0.50551477130183597</v>
      </c>
      <c r="D62" s="43">
        <f>(Sheet1!D63/Sheet1!D62-1)*12</f>
        <v>-1.3869337264210118</v>
      </c>
      <c r="E62" s="43">
        <f>(Sheet1!E63/Sheet1!E62-1)*12</f>
        <v>-0.18784329094442187</v>
      </c>
      <c r="F62" s="43">
        <f>(Sheet1!F63/Sheet1!F62-1)*12</f>
        <v>-1.3748215926949472</v>
      </c>
      <c r="G62" s="43">
        <f>(Sheet1!G63/Sheet1!G62-1)*12</f>
        <v>-0.91704576659545367</v>
      </c>
      <c r="H62" s="43">
        <f>(Sheet1!H63/Sheet1!H62-1)*12</f>
        <v>-0.26091776248277387</v>
      </c>
      <c r="I62" s="43">
        <f>(Sheet1!I63/Sheet1!I62-1)*12</f>
        <v>-8.097302278933638E-2</v>
      </c>
      <c r="J62" s="43">
        <f>(Sheet1!J63/Sheet1!J62-1)*12</f>
        <v>-3.6186279238497043E-3</v>
      </c>
      <c r="K62" s="44">
        <f>(Sheet1!K63/Sheet1!K62-1)*12</f>
        <v>-8.1278908020174345E-2</v>
      </c>
    </row>
    <row r="63" spans="1:11" x14ac:dyDescent="0.2">
      <c r="A63" s="87">
        <v>42430</v>
      </c>
      <c r="B63" s="15">
        <f>(Sheet1!B64/Sheet1!B63-1)*12</f>
        <v>1.8120892069489667</v>
      </c>
      <c r="C63" s="15">
        <f>(Sheet1!C64/Sheet1!C63-1)*12</f>
        <v>0.34738536865105729</v>
      </c>
      <c r="D63" s="15">
        <f>(Sheet1!D64/Sheet1!D63-1)*12</f>
        <v>2.6136351035210659</v>
      </c>
      <c r="E63" s="15">
        <f>(Sheet1!E64/Sheet1!E63-1)*12</f>
        <v>0.78438866433006549</v>
      </c>
      <c r="F63" s="15">
        <f>(Sheet1!F64/Sheet1!F63-1)*12</f>
        <v>0.95846742141261387</v>
      </c>
      <c r="G63" s="15">
        <f>(Sheet1!G64/Sheet1!G63-1)*12</f>
        <v>1.1194696984383068</v>
      </c>
      <c r="H63" s="15">
        <f>(Sheet1!H64/Sheet1!H63-1)*12</f>
        <v>1.0464790809214986</v>
      </c>
      <c r="I63" s="15">
        <f>(Sheet1!I64/Sheet1!I63-1)*12</f>
        <v>0.8111446623354972</v>
      </c>
      <c r="J63" s="15">
        <f>(Sheet1!J64/Sheet1!J63-1)*12</f>
        <v>0.38890919885446529</v>
      </c>
      <c r="K63" s="16">
        <f>(Sheet1!K64/Sheet1!K63-1)*12</f>
        <v>-2.3379227746695985E-2</v>
      </c>
    </row>
    <row r="64" spans="1:11" x14ac:dyDescent="0.2">
      <c r="A64" s="50">
        <v>42461</v>
      </c>
      <c r="B64" s="43">
        <f>(Sheet1!B65/Sheet1!B64-1)*12</f>
        <v>-0.25788659951683846</v>
      </c>
      <c r="C64" s="43">
        <f>(Sheet1!C65/Sheet1!C64-1)*12</f>
        <v>-0.69748637663571378</v>
      </c>
      <c r="D64" s="43">
        <f>(Sheet1!D65/Sheet1!D64-1)*12</f>
        <v>-0.75583160014897288</v>
      </c>
      <c r="E64" s="43">
        <f>(Sheet1!E65/Sheet1!E64-1)*12</f>
        <v>-0.34795453663146114</v>
      </c>
      <c r="F64" s="43">
        <f>(Sheet1!F65/Sheet1!F64-1)*12</f>
        <v>0.97224881167626709</v>
      </c>
      <c r="G64" s="43">
        <f>(Sheet1!G65/Sheet1!G64-1)*12</f>
        <v>-1.164585697532472</v>
      </c>
      <c r="H64" s="43">
        <f>(Sheet1!H65/Sheet1!H64-1)*12</f>
        <v>0.31619224345435537</v>
      </c>
      <c r="I64" s="43">
        <f>(Sheet1!I65/Sheet1!I64-1)*12</f>
        <v>0.29353149584096627</v>
      </c>
      <c r="J64" s="43">
        <f>(Sheet1!J65/Sheet1!J64-1)*12</f>
        <v>-0.19710214880907762</v>
      </c>
      <c r="K64" s="44">
        <f>(Sheet1!K65/Sheet1!K64-1)*12</f>
        <v>-0.46423619643456249</v>
      </c>
    </row>
    <row r="65" spans="1:11" x14ac:dyDescent="0.2">
      <c r="A65" s="87">
        <v>42491</v>
      </c>
      <c r="B65" s="15">
        <f>(Sheet1!B66/Sheet1!B65-1)*12</f>
        <v>0.7656905899708617</v>
      </c>
      <c r="C65" s="15">
        <f>(Sheet1!C66/Sheet1!C65-1)*12</f>
        <v>-0.28596826858747493</v>
      </c>
      <c r="D65" s="15">
        <f>(Sheet1!D66/Sheet1!D65-1)*12</f>
        <v>1.8721996680497917</v>
      </c>
      <c r="E65" s="15">
        <f>(Sheet1!E66/Sheet1!E65-1)*12</f>
        <v>0.52440165701664476</v>
      </c>
      <c r="F65" s="15">
        <f>(Sheet1!F66/Sheet1!F65-1)*12</f>
        <v>0.18956351104302449</v>
      </c>
      <c r="G65" s="15">
        <f>(Sheet1!G66/Sheet1!G65-1)*12</f>
        <v>0.7531591617100073</v>
      </c>
      <c r="H65" s="15">
        <f>(Sheet1!H66/Sheet1!H65-1)*12</f>
        <v>-0.11091946153074472</v>
      </c>
      <c r="I65" s="15">
        <f>(Sheet1!I66/Sheet1!I65-1)*12</f>
        <v>-0.19622789139678121</v>
      </c>
      <c r="J65" s="15">
        <f>(Sheet1!J66/Sheet1!J65-1)*12</f>
        <v>0.70165860435127048</v>
      </c>
      <c r="K65" s="16">
        <f>(Sheet1!K66/Sheet1!K65-1)*12</f>
        <v>-0.75737774710697758</v>
      </c>
    </row>
    <row r="66" spans="1:11" x14ac:dyDescent="0.2">
      <c r="A66" s="50">
        <v>42522</v>
      </c>
      <c r="B66" s="43">
        <f>(Sheet1!B67/Sheet1!B66-1)*12</f>
        <v>-0.57291678618482766</v>
      </c>
      <c r="C66" s="43">
        <f>(Sheet1!C67/Sheet1!C66-1)*12</f>
        <v>0.5312113358049535</v>
      </c>
      <c r="D66" s="43">
        <f>(Sheet1!D67/Sheet1!D66-1)*12</f>
        <v>0.64177987646159895</v>
      </c>
      <c r="E66" s="43">
        <f>(Sheet1!E67/Sheet1!E66-1)*12</f>
        <v>-0.30450897760841977</v>
      </c>
      <c r="F66" s="43">
        <f>(Sheet1!F67/Sheet1!F66-1)*12</f>
        <v>-1.2332682459087203</v>
      </c>
      <c r="G66" s="43">
        <f>(Sheet1!G67/Sheet1!G66-1)*12</f>
        <v>-0.3333053838019695</v>
      </c>
      <c r="H66" s="43">
        <f>(Sheet1!H67/Sheet1!H66-1)*12</f>
        <v>-0.98102362941230803</v>
      </c>
      <c r="I66" s="43">
        <f>(Sheet1!I67/Sheet1!I66-1)*12</f>
        <v>-1.1432210270817245</v>
      </c>
      <c r="J66" s="43">
        <f>(Sheet1!J67/Sheet1!J66-1)*12</f>
        <v>0.47040760347482191</v>
      </c>
      <c r="K66" s="44">
        <f>(Sheet1!K67/Sheet1!K66-1)*12</f>
        <v>-4.3463043745481933E-3</v>
      </c>
    </row>
    <row r="67" spans="1:11" x14ac:dyDescent="0.2">
      <c r="A67" s="87">
        <v>42552</v>
      </c>
      <c r="B67" s="15">
        <f>(Sheet1!B68/Sheet1!B67-1)*12</f>
        <v>-5.0845056579519099E-2</v>
      </c>
      <c r="C67" s="15">
        <f>(Sheet1!C68/Sheet1!C67-1)*12</f>
        <v>0.19538127442271769</v>
      </c>
      <c r="D67" s="15">
        <f>(Sheet1!D68/Sheet1!D67-1)*12</f>
        <v>1.6599659284497426</v>
      </c>
      <c r="E67" s="15">
        <f>(Sheet1!E68/Sheet1!E67-1)*12</f>
        <v>0.8923469244101625</v>
      </c>
      <c r="F67" s="15">
        <f>(Sheet1!F68/Sheet1!F67-1)*12</f>
        <v>1.1476887537538492</v>
      </c>
      <c r="G67" s="15">
        <f>(Sheet1!G68/Sheet1!G67-1)*12</f>
        <v>1.2921622455032979</v>
      </c>
      <c r="H67" s="15">
        <f>(Sheet1!H68/Sheet1!H67-1)*12</f>
        <v>0.9784272596031709</v>
      </c>
      <c r="I67" s="15">
        <f>(Sheet1!I68/Sheet1!I67-1)*12</f>
        <v>1.5441077837324491</v>
      </c>
      <c r="J67" s="15">
        <f>(Sheet1!J68/Sheet1!J67-1)*12</f>
        <v>-8.218296315926743E-3</v>
      </c>
      <c r="K67" s="16">
        <f>(Sheet1!K68/Sheet1!K67-1)*12</f>
        <v>0.10046304161930575</v>
      </c>
    </row>
    <row r="68" spans="1:11" x14ac:dyDescent="0.2">
      <c r="A68" s="50">
        <v>42583</v>
      </c>
      <c r="B68" s="43">
        <f>(Sheet1!B69/Sheet1!B68-1)*12</f>
        <v>0.23295899613399307</v>
      </c>
      <c r="C68" s="43">
        <f>(Sheet1!C69/Sheet1!C68-1)*12</f>
        <v>-0.37623061566644722</v>
      </c>
      <c r="D68" s="43">
        <f>(Sheet1!D69/Sheet1!D68-1)*12</f>
        <v>-0.44896737503741369</v>
      </c>
      <c r="E68" s="43">
        <f>(Sheet1!E69/Sheet1!E68-1)*12</f>
        <v>0.12600727528431577</v>
      </c>
      <c r="F68" s="43">
        <f>(Sheet1!F69/Sheet1!F68-1)*12</f>
        <v>1.3664585456939182</v>
      </c>
      <c r="G68" s="43">
        <f>(Sheet1!G69/Sheet1!G68-1)*12</f>
        <v>0.16514116012351199</v>
      </c>
      <c r="H68" s="43">
        <f>(Sheet1!H69/Sheet1!H68-1)*12</f>
        <v>0.20140884328631437</v>
      </c>
      <c r="I68" s="43">
        <f>(Sheet1!I69/Sheet1!I68-1)*12</f>
        <v>0.14457717137218662</v>
      </c>
      <c r="J68" s="43">
        <f>(Sheet1!J69/Sheet1!J68-1)*12</f>
        <v>-0.25160766596181094</v>
      </c>
      <c r="K68" s="44">
        <f>(Sheet1!K69/Sheet1!K68-1)*12</f>
        <v>0.46270195611872467</v>
      </c>
    </row>
    <row r="69" spans="1:11" x14ac:dyDescent="0.2">
      <c r="A69" s="87">
        <v>42614</v>
      </c>
      <c r="B69" s="15">
        <f>(Sheet1!B70/Sheet1!B69-1)*12</f>
        <v>0.74817551415919326</v>
      </c>
      <c r="C69" s="15">
        <f>(Sheet1!C70/Sheet1!C69-1)*12</f>
        <v>-0.40578622842141243</v>
      </c>
      <c r="D69" s="15">
        <f>(Sheet1!D70/Sheet1!D69-1)*12</f>
        <v>0.39179067164179493</v>
      </c>
      <c r="E69" s="15">
        <f>(Sheet1!E70/Sheet1!E69-1)*12</f>
        <v>0.23497218227949368</v>
      </c>
      <c r="F69" s="15">
        <f>(Sheet1!F70/Sheet1!F69-1)*12</f>
        <v>-0.31015916790271447</v>
      </c>
      <c r="G69" s="15">
        <f>(Sheet1!G70/Sheet1!G69-1)*12</f>
        <v>0.10421085634356597</v>
      </c>
      <c r="H69" s="15">
        <f>(Sheet1!H70/Sheet1!H69-1)*12</f>
        <v>0.6383095914381407</v>
      </c>
      <c r="I69" s="15">
        <f>(Sheet1!I70/Sheet1!I69-1)*12</f>
        <v>-5.6393140626178173E-2</v>
      </c>
      <c r="J69" s="15">
        <f>(Sheet1!J70/Sheet1!J69-1)*12</f>
        <v>0.19714937796994914</v>
      </c>
      <c r="K69" s="16">
        <f>(Sheet1!K70/Sheet1!K69-1)*12</f>
        <v>-1.0388622260672817</v>
      </c>
    </row>
    <row r="70" spans="1:11" x14ac:dyDescent="0.2">
      <c r="A70" s="50">
        <v>42644</v>
      </c>
      <c r="B70" s="43">
        <f>(Sheet1!B71/Sheet1!B70-1)*12</f>
        <v>-0.58246733341233226</v>
      </c>
      <c r="C70" s="43">
        <f>(Sheet1!C71/Sheet1!C70-1)*12</f>
        <v>-0.23716327625246159</v>
      </c>
      <c r="D70" s="43">
        <f>(Sheet1!D71/Sheet1!D70-1)*12</f>
        <v>-0.67931311891939661</v>
      </c>
      <c r="E70" s="43">
        <f>(Sheet1!E71/Sheet1!E70-1)*12</f>
        <v>-0.14523957556406586</v>
      </c>
      <c r="F70" s="43">
        <f>(Sheet1!F71/Sheet1!F70-1)*12</f>
        <v>0.65175858981754509</v>
      </c>
      <c r="G70" s="43">
        <f>(Sheet1!G71/Sheet1!G70-1)*12</f>
        <v>0.4833323713606994</v>
      </c>
      <c r="H70" s="43">
        <f>(Sheet1!H71/Sheet1!H70-1)*12</f>
        <v>0.61904287072991782</v>
      </c>
      <c r="I70" s="43">
        <f>(Sheet1!I71/Sheet1!I70-1)*12</f>
        <v>7.8688835978603322E-2</v>
      </c>
      <c r="J70" s="43">
        <f>(Sheet1!J71/Sheet1!J70-1)*12</f>
        <v>-0.34941799261875639</v>
      </c>
      <c r="K70" s="44">
        <f>(Sheet1!K71/Sheet1!K70-1)*12</f>
        <v>-0.53112795865038631</v>
      </c>
    </row>
    <row r="71" spans="1:11" x14ac:dyDescent="0.2">
      <c r="A71" s="87">
        <v>42675</v>
      </c>
      <c r="B71" s="15">
        <f>(Sheet1!B72/Sheet1!B71-1)*12</f>
        <v>0.45757241697322026</v>
      </c>
      <c r="C71" s="15">
        <f>(Sheet1!C72/Sheet1!C71-1)*12</f>
        <v>1.1079718559718206</v>
      </c>
      <c r="D71" s="15">
        <f>(Sheet1!D72/Sheet1!D71-1)*12</f>
        <v>-0.86562400255346272</v>
      </c>
      <c r="E71" s="15">
        <f>(Sheet1!E72/Sheet1!E71-1)*12</f>
        <v>5.2310815892569806E-2</v>
      </c>
      <c r="F71" s="15">
        <f>(Sheet1!F72/Sheet1!F71-1)*12</f>
        <v>3.3599983104264606</v>
      </c>
      <c r="G71" s="15">
        <f>(Sheet1!G72/Sheet1!G71-1)*12</f>
        <v>6.8090401025409975E-2</v>
      </c>
      <c r="H71" s="15">
        <f>(Sheet1!H72/Sheet1!H71-1)*12</f>
        <v>-0.51890687125815527</v>
      </c>
      <c r="I71" s="15">
        <f>(Sheet1!I72/Sheet1!I71-1)*12</f>
        <v>1.1126562453428352</v>
      </c>
      <c r="J71" s="15">
        <f>(Sheet1!J72/Sheet1!J71-1)*12</f>
        <v>7.0268283464785419E-2</v>
      </c>
      <c r="K71" s="16">
        <f>(Sheet1!K72/Sheet1!K71-1)*12</f>
        <v>-2.6303789992092597E-2</v>
      </c>
    </row>
    <row r="72" spans="1:11" x14ac:dyDescent="0.2">
      <c r="A72" s="50">
        <v>42705</v>
      </c>
      <c r="B72" s="43">
        <f>(Sheet1!B73/Sheet1!B72-1)*12</f>
        <v>-0.2310975052537616</v>
      </c>
      <c r="C72" s="43">
        <f>(Sheet1!C73/Sheet1!C72-1)*12</f>
        <v>-0.45392177005678658</v>
      </c>
      <c r="D72" s="43">
        <f>(Sheet1!D73/Sheet1!D72-1)*12</f>
        <v>-0.42930815273477929</v>
      </c>
      <c r="E72" s="43">
        <f>(Sheet1!E73/Sheet1!E72-1)*12</f>
        <v>0.10008619565921517</v>
      </c>
      <c r="F72" s="43">
        <f>(Sheet1!F73/Sheet1!F72-1)*12</f>
        <v>0.6034074460643879</v>
      </c>
      <c r="G72" s="43">
        <f>(Sheet1!G73/Sheet1!G72-1)*12</f>
        <v>0.45797385029889703</v>
      </c>
      <c r="H72" s="43">
        <f>(Sheet1!H73/Sheet1!H72-1)*12</f>
        <v>0.12328872590160955</v>
      </c>
      <c r="I72" s="43">
        <f>(Sheet1!I73/Sheet1!I72-1)*12</f>
        <v>0.1077347023416344</v>
      </c>
      <c r="J72" s="43">
        <f>(Sheet1!J73/Sheet1!J72-1)*12</f>
        <v>-0.22320276035435915</v>
      </c>
      <c r="K72" s="44">
        <f>(Sheet1!K73/Sheet1!K72-1)*12</f>
        <v>0.18214644708571814</v>
      </c>
    </row>
    <row r="73" spans="1:11" x14ac:dyDescent="0.2">
      <c r="A73" s="87">
        <v>42736</v>
      </c>
      <c r="B73" s="15">
        <f>(Sheet1!B74/Sheet1!B73-1)*12</f>
        <v>-0.3339863959178424</v>
      </c>
      <c r="C73" s="15">
        <f>(Sheet1!C74/Sheet1!C73-1)*12</f>
        <v>-6.4842201659711662E-2</v>
      </c>
      <c r="D73" s="15">
        <f>(Sheet1!D74/Sheet1!D73-1)*12</f>
        <v>0.95897206710766714</v>
      </c>
      <c r="E73" s="15">
        <f>(Sheet1!E74/Sheet1!E73-1)*12</f>
        <v>0.65412390546119514</v>
      </c>
      <c r="F73" s="15">
        <f>(Sheet1!F74/Sheet1!F73-1)*12</f>
        <v>0.2932105387416577</v>
      </c>
      <c r="G73" s="15">
        <f>(Sheet1!G74/Sheet1!G73-1)*12</f>
        <v>0.48471075469973535</v>
      </c>
      <c r="H73" s="15">
        <f>(Sheet1!H74/Sheet1!H73-1)*12</f>
        <v>0.35796621372291249</v>
      </c>
      <c r="I73" s="15">
        <f>(Sheet1!I74/Sheet1!I73-1)*12</f>
        <v>0.74643026573411131</v>
      </c>
      <c r="J73" s="15">
        <f>(Sheet1!J74/Sheet1!J73-1)*12</f>
        <v>-0.33026606755261634</v>
      </c>
      <c r="K73" s="16">
        <f>(Sheet1!K74/Sheet1!K73-1)*12</f>
        <v>0.53374444840242585</v>
      </c>
    </row>
    <row r="74" spans="1:11" x14ac:dyDescent="0.2">
      <c r="A74" s="50">
        <v>42767</v>
      </c>
      <c r="B74" s="43">
        <f>(Sheet1!B75/Sheet1!B74-1)*12</f>
        <v>0.90945623603089309</v>
      </c>
      <c r="C74" s="43">
        <f>(Sheet1!C75/Sheet1!C74-1)*12</f>
        <v>0.35856598061037115</v>
      </c>
      <c r="D74" s="43">
        <f>(Sheet1!D75/Sheet1!D74-1)*12</f>
        <v>0.27353776015857179</v>
      </c>
      <c r="E74" s="43">
        <f>(Sheet1!E75/Sheet1!E74-1)*12</f>
        <v>0.52500555733607346</v>
      </c>
      <c r="F74" s="43">
        <f>(Sheet1!F75/Sheet1!F74-1)*12</f>
        <v>1.0812738658397416</v>
      </c>
      <c r="G74" s="43">
        <f>(Sheet1!G75/Sheet1!G74-1)*12</f>
        <v>-0.12435924683980915</v>
      </c>
      <c r="H74" s="43">
        <f>(Sheet1!H75/Sheet1!H74-1)*12</f>
        <v>0.49192755736057858</v>
      </c>
      <c r="I74" s="43">
        <f>(Sheet1!I75/Sheet1!I74-1)*12</f>
        <v>7.5389647145499339E-2</v>
      </c>
      <c r="J74" s="43">
        <f>(Sheet1!J75/Sheet1!J74-1)*12</f>
        <v>0.75336819172156044</v>
      </c>
      <c r="K74" s="44">
        <f>(Sheet1!K75/Sheet1!K74-1)*12</f>
        <v>0.96635228363850612</v>
      </c>
    </row>
    <row r="75" spans="1:11" x14ac:dyDescent="0.2">
      <c r="A75" s="87">
        <v>42795</v>
      </c>
      <c r="B75" s="15">
        <f>(Sheet1!B76/Sheet1!B75-1)*12</f>
        <v>-0.25665249139216595</v>
      </c>
      <c r="C75" s="15">
        <f>(Sheet1!C76/Sheet1!C75-1)*12</f>
        <v>0.37624882450658959</v>
      </c>
      <c r="D75" s="15">
        <f>(Sheet1!D76/Sheet1!D75-1)*12</f>
        <v>1.0736438331280302</v>
      </c>
      <c r="E75" s="15">
        <f>(Sheet1!E76/Sheet1!E75-1)*12</f>
        <v>0.21781121270837112</v>
      </c>
      <c r="F75" s="15">
        <f>(Sheet1!F76/Sheet1!F75-1)*12</f>
        <v>-0.52998512160509881</v>
      </c>
      <c r="G75" s="15">
        <f>(Sheet1!G76/Sheet1!G75-1)*12</f>
        <v>0.42749648421923503</v>
      </c>
      <c r="H75" s="15">
        <f>(Sheet1!H76/Sheet1!H75-1)*12</f>
        <v>0.21835945470325324</v>
      </c>
      <c r="I75" s="15">
        <f>(Sheet1!I76/Sheet1!I75-1)*12</f>
        <v>-0.48208484622488212</v>
      </c>
      <c r="J75" s="15">
        <f>(Sheet1!J76/Sheet1!J75-1)*12</f>
        <v>0.19456013399884498</v>
      </c>
      <c r="K75" s="16">
        <f>(Sheet1!K76/Sheet1!K75-1)*12</f>
        <v>-0.3002100805027248</v>
      </c>
    </row>
    <row r="76" spans="1:11" x14ac:dyDescent="0.2">
      <c r="A76" s="50">
        <v>42826</v>
      </c>
      <c r="B76" s="43">
        <f>(Sheet1!B77/Sheet1!B76-1)*12</f>
        <v>0.14214266434893474</v>
      </c>
      <c r="C76" s="43">
        <f>(Sheet1!C77/Sheet1!C76-1)*12</f>
        <v>0.34321017611233362</v>
      </c>
      <c r="D76" s="43">
        <f>(Sheet1!D77/Sheet1!D76-1)*12</f>
        <v>0.28105544026089646</v>
      </c>
      <c r="E76" s="43">
        <f>(Sheet1!E77/Sheet1!E76-1)*12</f>
        <v>0.35288179907998796</v>
      </c>
      <c r="F76" s="43">
        <f>(Sheet1!F77/Sheet1!F76-1)*12</f>
        <v>-9.0982644887810604E-2</v>
      </c>
      <c r="G76" s="43">
        <f>(Sheet1!G77/Sheet1!G76-1)*12</f>
        <v>0.47373160181150542</v>
      </c>
      <c r="H76" s="43">
        <f>(Sheet1!H77/Sheet1!H76-1)*12</f>
        <v>0.41077511337836459</v>
      </c>
      <c r="I76" s="43">
        <f>(Sheet1!I77/Sheet1!I76-1)*12</f>
        <v>-0.12406580204106366</v>
      </c>
      <c r="J76" s="43">
        <f>(Sheet1!J77/Sheet1!J76-1)*12</f>
        <v>0.60812443938947514</v>
      </c>
      <c r="K76" s="44">
        <f>(Sheet1!K77/Sheet1!K76-1)*12</f>
        <v>-3.1728672015673531E-2</v>
      </c>
    </row>
    <row r="77" spans="1:11" x14ac:dyDescent="0.2">
      <c r="A77" s="87">
        <v>42856</v>
      </c>
      <c r="B77" s="15">
        <f>(Sheet1!B78/Sheet1!B77-1)*12</f>
        <v>0.44135184006074546</v>
      </c>
      <c r="C77" s="15">
        <f>(Sheet1!C78/Sheet1!C77-1)*12</f>
        <v>0.70929001176453177</v>
      </c>
      <c r="D77" s="15">
        <f>(Sheet1!D78/Sheet1!D77-1)*12</f>
        <v>0.73001123986094818</v>
      </c>
      <c r="E77" s="15">
        <f>(Sheet1!E78/Sheet1!E77-1)*12</f>
        <v>0.46768311938923723</v>
      </c>
      <c r="F77" s="15">
        <f>(Sheet1!F78/Sheet1!F77-1)*12</f>
        <v>-0.4781483471419139</v>
      </c>
      <c r="G77" s="15">
        <f>(Sheet1!G78/Sheet1!G77-1)*12</f>
        <v>0.24189103590409378</v>
      </c>
      <c r="H77" s="15">
        <f>(Sheet1!H78/Sheet1!H77-1)*12</f>
        <v>0.70168409187200709</v>
      </c>
      <c r="I77" s="15">
        <f>(Sheet1!I78/Sheet1!I77-1)*12</f>
        <v>-0.24595622095388459</v>
      </c>
      <c r="J77" s="15">
        <f>(Sheet1!J78/Sheet1!J77-1)*12</f>
        <v>0.54589122939407897</v>
      </c>
      <c r="K77" s="16">
        <f>(Sheet1!K78/Sheet1!K77-1)*12</f>
        <v>-0.52409401711544312</v>
      </c>
    </row>
    <row r="78" spans="1:11" x14ac:dyDescent="0.2">
      <c r="A78" s="50">
        <v>42887</v>
      </c>
      <c r="B78" s="43">
        <f>(Sheet1!B79/Sheet1!B78-1)*12</f>
        <v>-7.6164694771047259E-2</v>
      </c>
      <c r="C78" s="43">
        <f>(Sheet1!C79/Sheet1!C78-1)*12</f>
        <v>-0.95452942709609268</v>
      </c>
      <c r="D78" s="43">
        <f>(Sheet1!D79/Sheet1!D78-1)*12</f>
        <v>0.5144729796415346</v>
      </c>
      <c r="E78" s="43">
        <f>(Sheet1!E79/Sheet1!E78-1)*12</f>
        <v>-0.31000247019112814</v>
      </c>
      <c r="F78" s="43">
        <f>(Sheet1!F79/Sheet1!F78-1)*12</f>
        <v>1.0332954726765786</v>
      </c>
      <c r="G78" s="43">
        <f>(Sheet1!G79/Sheet1!G78-1)*12</f>
        <v>-8.8469270900997543E-2</v>
      </c>
      <c r="H78" s="43">
        <f>(Sheet1!H79/Sheet1!H78-1)*12</f>
        <v>-0.13964873582373327</v>
      </c>
      <c r="I78" s="43">
        <f>(Sheet1!I79/Sheet1!I78-1)*12</f>
        <v>0.35366631932402548</v>
      </c>
      <c r="J78" s="43">
        <f>(Sheet1!J79/Sheet1!J78-1)*12</f>
        <v>-0.36848096359303595</v>
      </c>
      <c r="K78" s="44">
        <f>(Sheet1!K79/Sheet1!K78-1)*12</f>
        <v>1.3610125021909232</v>
      </c>
    </row>
    <row r="79" spans="1:11" x14ac:dyDescent="0.2">
      <c r="A79" s="87">
        <v>42917</v>
      </c>
      <c r="B79" s="15">
        <f>(Sheet1!B80/Sheet1!B79-1)*12</f>
        <v>0.49870815276226832</v>
      </c>
      <c r="C79" s="15">
        <f>(Sheet1!C80/Sheet1!C79-1)*12</f>
        <v>-0.89109847088334782</v>
      </c>
      <c r="D79" s="15">
        <f>(Sheet1!D80/Sheet1!D79-1)*12</f>
        <v>0.9049492774273169</v>
      </c>
      <c r="E79" s="15">
        <f>(Sheet1!E80/Sheet1!E79-1)*12</f>
        <v>0.52137774881583532</v>
      </c>
      <c r="F79" s="15">
        <f>(Sheet1!F80/Sheet1!F79-1)*12</f>
        <v>-6.9247584531664685E-2</v>
      </c>
      <c r="G79" s="15">
        <f>(Sheet1!G80/Sheet1!G79-1)*12</f>
        <v>0.65631905976732874</v>
      </c>
      <c r="H79" s="15">
        <f>(Sheet1!H80/Sheet1!H79-1)*12</f>
        <v>0.62741762384566968</v>
      </c>
      <c r="I79" s="15">
        <f>(Sheet1!I80/Sheet1!I79-1)*12</f>
        <v>0.49866927712785536</v>
      </c>
      <c r="J79" s="15">
        <f>(Sheet1!J80/Sheet1!J79-1)*12</f>
        <v>0.68340307350892004</v>
      </c>
      <c r="K79" s="16">
        <f>(Sheet1!K80/Sheet1!K79-1)*12</f>
        <v>5.1104658393659186E-2</v>
      </c>
    </row>
    <row r="80" spans="1:11" x14ac:dyDescent="0.2">
      <c r="A80" s="50">
        <v>42948</v>
      </c>
      <c r="B80" s="43">
        <f>(Sheet1!B81/Sheet1!B80-1)*12</f>
        <v>0.18071473881162792</v>
      </c>
      <c r="C80" s="43">
        <f>(Sheet1!C81/Sheet1!C80-1)*12</f>
        <v>0.19562685786125744</v>
      </c>
      <c r="D80" s="43">
        <f>(Sheet1!D81/Sheet1!D80-1)*12</f>
        <v>-0.42074477720964243</v>
      </c>
      <c r="E80" s="43">
        <f>(Sheet1!E81/Sheet1!E80-1)*12</f>
        <v>0.24883104776029263</v>
      </c>
      <c r="F80" s="43">
        <f>(Sheet1!F81/Sheet1!F80-1)*12</f>
        <v>-0.11443051156457695</v>
      </c>
      <c r="G80" s="43">
        <f>(Sheet1!G81/Sheet1!G80-1)*12</f>
        <v>0.34167846643028632</v>
      </c>
      <c r="H80" s="43">
        <f>(Sheet1!H81/Sheet1!H80-1)*12</f>
        <v>0.53927404744682672</v>
      </c>
      <c r="I80" s="43">
        <f>(Sheet1!I81/Sheet1!I80-1)*12</f>
        <v>0.18676966549632379</v>
      </c>
      <c r="J80" s="43">
        <f>(Sheet1!J81/Sheet1!J80-1)*12</f>
        <v>-0.28803523389341912</v>
      </c>
      <c r="K80" s="44">
        <f>(Sheet1!K81/Sheet1!K80-1)*12</f>
        <v>-1.2680779479402879</v>
      </c>
    </row>
    <row r="81" spans="1:11" x14ac:dyDescent="0.2">
      <c r="A81" s="87">
        <v>42979</v>
      </c>
      <c r="B81" s="15">
        <f>(Sheet1!B82/Sheet1!B81-1)*12</f>
        <v>0.39553641937877249</v>
      </c>
      <c r="C81" s="15">
        <f>(Sheet1!C82/Sheet1!C81-1)*12</f>
        <v>-0.19851545629403144</v>
      </c>
      <c r="D81" s="15">
        <f>(Sheet1!D82/Sheet1!D81-1)*12</f>
        <v>-0.69341436554594038</v>
      </c>
      <c r="E81" s="15">
        <f>(Sheet1!E82/Sheet1!E81-1)*12</f>
        <v>-6.1562465547011502E-2</v>
      </c>
      <c r="F81" s="15">
        <f>(Sheet1!F82/Sheet1!F81-1)*12</f>
        <v>0.79344514936475541</v>
      </c>
      <c r="G81" s="15">
        <f>(Sheet1!G82/Sheet1!G81-1)*12</f>
        <v>1.8758513055576742E-2</v>
      </c>
      <c r="H81" s="15">
        <f>(Sheet1!H82/Sheet1!H81-1)*12</f>
        <v>0.71117643641983719</v>
      </c>
      <c r="I81" s="15">
        <f>(Sheet1!I82/Sheet1!I81-1)*12</f>
        <v>1.2610830322786697</v>
      </c>
      <c r="J81" s="15">
        <f>(Sheet1!J82/Sheet1!J81-1)*12</f>
        <v>8.6307846595699012E-2</v>
      </c>
      <c r="K81" s="16">
        <f>(Sheet1!K82/Sheet1!K81-1)*12</f>
        <v>-0.17765329627269288</v>
      </c>
    </row>
    <row r="82" spans="1:11" x14ac:dyDescent="0.2">
      <c r="A82" s="50">
        <v>43009</v>
      </c>
      <c r="B82" s="43">
        <f>(Sheet1!B83/Sheet1!B82-1)*12</f>
        <v>0.64766418148890814</v>
      </c>
      <c r="C82" s="43">
        <f>(Sheet1!C83/Sheet1!C82-1)*12</f>
        <v>0.25246761617789559</v>
      </c>
      <c r="D82" s="43">
        <f>(Sheet1!D83/Sheet1!D82-1)*12</f>
        <v>1.9507230851633626</v>
      </c>
      <c r="E82" s="43">
        <f>(Sheet1!E83/Sheet1!E82-1)*12</f>
        <v>0.58024513473919015</v>
      </c>
      <c r="F82" s="43">
        <f>(Sheet1!F83/Sheet1!F82-1)*12</f>
        <v>0.97079721310599609</v>
      </c>
      <c r="G82" s="43">
        <f>(Sheet1!G83/Sheet1!G82-1)*12</f>
        <v>1.3999176485435383</v>
      </c>
      <c r="H82" s="43">
        <f>(Sheet1!H83/Sheet1!H82-1)*12</f>
        <v>0.64334213057754042</v>
      </c>
      <c r="I82" s="43">
        <f>(Sheet1!I83/Sheet1!I82-1)*12</f>
        <v>0.90281940756495693</v>
      </c>
      <c r="J82" s="43">
        <f>(Sheet1!J83/Sheet1!J82-1)*12</f>
        <v>1.4082404591523252</v>
      </c>
      <c r="K82" s="44">
        <f>(Sheet1!K83/Sheet1!K82-1)*12</f>
        <v>0.72671047480461759</v>
      </c>
    </row>
    <row r="83" spans="1:11" x14ac:dyDescent="0.2">
      <c r="A83" s="87">
        <v>43040</v>
      </c>
      <c r="B83" s="15">
        <f>(Sheet1!B84/Sheet1!B83-1)*12</f>
        <v>0.59709295482354996</v>
      </c>
      <c r="C83" s="15">
        <f>(Sheet1!C84/Sheet1!C83-1)*12</f>
        <v>0.65207880290284326</v>
      </c>
      <c r="D83" s="15">
        <f>(Sheet1!D84/Sheet1!D83-1)*12</f>
        <v>0.9371109882515567</v>
      </c>
      <c r="E83" s="15">
        <f>(Sheet1!E84/Sheet1!E83-1)*12</f>
        <v>0.23660830512986042</v>
      </c>
      <c r="F83" s="15">
        <f>(Sheet1!F84/Sheet1!F83-1)*12</f>
        <v>0.34173121070403756</v>
      </c>
      <c r="G83" s="15">
        <f>(Sheet1!G84/Sheet1!G83-1)*12</f>
        <v>0.14282262338773144</v>
      </c>
      <c r="H83" s="15">
        <f>(Sheet1!H84/Sheet1!H83-1)*12</f>
        <v>0.15594698926017969</v>
      </c>
      <c r="I83" s="15">
        <f>(Sheet1!I84/Sheet1!I83-1)*12</f>
        <v>3.0711412224886381E-2</v>
      </c>
      <c r="J83" s="15">
        <f>(Sheet1!J84/Sheet1!J83-1)*12</f>
        <v>1.3634199474145285</v>
      </c>
      <c r="K83" s="16">
        <f>(Sheet1!K84/Sheet1!K83-1)*12</f>
        <v>1.1849436350024813</v>
      </c>
    </row>
    <row r="84" spans="1:11" x14ac:dyDescent="0.2">
      <c r="A84" s="50">
        <v>43070</v>
      </c>
      <c r="B84" s="43">
        <f>(Sheet1!B85/Sheet1!B84-1)*12</f>
        <v>0.41186663080578345</v>
      </c>
      <c r="C84" s="43">
        <f>(Sheet1!C85/Sheet1!C84-1)*12</f>
        <v>-1.7798717007754927E-2</v>
      </c>
      <c r="D84" s="43">
        <f>(Sheet1!D85/Sheet1!D84-1)*12</f>
        <v>-0.47435847167432676</v>
      </c>
      <c r="E84" s="43">
        <f>(Sheet1!E85/Sheet1!E84-1)*12</f>
        <v>4.7181838133943721E-2</v>
      </c>
      <c r="F84" s="43">
        <f>(Sheet1!F85/Sheet1!F84-1)*12</f>
        <v>0.62866534369603677</v>
      </c>
      <c r="G84" s="43">
        <f>(Sheet1!G85/Sheet1!G84-1)*12</f>
        <v>0.25656736449506923</v>
      </c>
      <c r="H84" s="43">
        <f>(Sheet1!H85/Sheet1!H84-1)*12</f>
        <v>7.0976025896192674E-2</v>
      </c>
      <c r="I84" s="43">
        <f>(Sheet1!I85/Sheet1!I84-1)*12</f>
        <v>-0.58482197964365668</v>
      </c>
      <c r="J84" s="43">
        <f>(Sheet1!J85/Sheet1!J84-1)*12</f>
        <v>0.18759474304904344</v>
      </c>
      <c r="K84" s="44">
        <f>(Sheet1!K85/Sheet1!K84-1)*12</f>
        <v>0.42303964982100783</v>
      </c>
    </row>
    <row r="85" spans="1:11" x14ac:dyDescent="0.2">
      <c r="A85" s="87">
        <v>43101</v>
      </c>
      <c r="B85" s="15">
        <f>(Sheet1!B86/Sheet1!B85-1)*12</f>
        <v>0.59651048042067956</v>
      </c>
      <c r="C85" s="15">
        <f>(Sheet1!C86/Sheet1!C85-1)*12</f>
        <v>-0.12954665513223862</v>
      </c>
      <c r="D85" s="15">
        <f>(Sheet1!D86/Sheet1!D85-1)*12</f>
        <v>0.79821969303181994</v>
      </c>
      <c r="E85" s="15">
        <f>(Sheet1!E86/Sheet1!E85-1)*12</f>
        <v>1.078140122885757</v>
      </c>
      <c r="F85" s="15">
        <f>(Sheet1!F86/Sheet1!F85-1)*12</f>
        <v>1.0081314453132055</v>
      </c>
      <c r="G85" s="15">
        <f>(Sheet1!G86/Sheet1!G85-1)*12</f>
        <v>1.328498682939828</v>
      </c>
      <c r="H85" s="15">
        <f>(Sheet1!H86/Sheet1!H85-1)*12</f>
        <v>1.3985205325990009</v>
      </c>
      <c r="I85" s="15">
        <f>(Sheet1!I86/Sheet1!I85-1)*12</f>
        <v>0.52866236047166026</v>
      </c>
      <c r="J85" s="15">
        <f>(Sheet1!J86/Sheet1!J85-1)*12</f>
        <v>1.0221921825619731</v>
      </c>
      <c r="K85" s="16">
        <f>(Sheet1!K86/Sheet1!K85-1)*12</f>
        <v>1.1312364466710578</v>
      </c>
    </row>
    <row r="86" spans="1:11" x14ac:dyDescent="0.2">
      <c r="A86" s="50">
        <v>43132</v>
      </c>
      <c r="B86" s="43">
        <f>(Sheet1!B87/Sheet1!B86-1)*12</f>
        <v>2.3147561525514782E-2</v>
      </c>
      <c r="C86" s="43">
        <f>(Sheet1!C87/Sheet1!C86-1)*12</f>
        <v>6.125565597775573E-2</v>
      </c>
      <c r="D86" s="43">
        <f>(Sheet1!D87/Sheet1!D86-1)*12</f>
        <v>0.63078849876488352</v>
      </c>
      <c r="E86" s="43">
        <f>(Sheet1!E87/Sheet1!E86-1)*12</f>
        <v>-0.15513484134506461</v>
      </c>
      <c r="F86" s="43">
        <f>(Sheet1!F87/Sheet1!F86-1)*12</f>
        <v>3.7498528868831649E-2</v>
      </c>
      <c r="G86" s="43">
        <f>(Sheet1!G87/Sheet1!G86-1)*12</f>
        <v>-0.15661258737823047</v>
      </c>
      <c r="H86" s="43">
        <f>(Sheet1!H87/Sheet1!H86-1)*12</f>
        <v>0.49964999337610116</v>
      </c>
      <c r="I86" s="43">
        <f>(Sheet1!I87/Sheet1!I86-1)*12</f>
        <v>-0.86583406441287103</v>
      </c>
      <c r="J86" s="43">
        <f>(Sheet1!J87/Sheet1!J86-1)*12</f>
        <v>-1.8675415599465937</v>
      </c>
      <c r="K86" s="44">
        <f>(Sheet1!K87/Sheet1!K86-1)*12</f>
        <v>-0.20932337526980005</v>
      </c>
    </row>
    <row r="87" spans="1:11" x14ac:dyDescent="0.2">
      <c r="A87" s="87">
        <v>43160</v>
      </c>
      <c r="B87" s="15">
        <f>(Sheet1!B88/Sheet1!B87-1)*12</f>
        <v>-0.55971622825107259</v>
      </c>
      <c r="C87" s="15">
        <f>(Sheet1!C88/Sheet1!C87-1)*12</f>
        <v>0.2320104550500508</v>
      </c>
      <c r="D87" s="15">
        <f>(Sheet1!D88/Sheet1!D87-1)*12</f>
        <v>-0.50416148442650588</v>
      </c>
      <c r="E87" s="15">
        <f>(Sheet1!E88/Sheet1!E87-1)*12</f>
        <v>-0.50810492370986582</v>
      </c>
      <c r="F87" s="15">
        <f>(Sheet1!F88/Sheet1!F87-1)*12</f>
        <v>-0.78878445405141528</v>
      </c>
      <c r="G87" s="15">
        <f>(Sheet1!G88/Sheet1!G87-1)*12</f>
        <v>-0.26506638378887537</v>
      </c>
      <c r="H87" s="15">
        <f>(Sheet1!H88/Sheet1!H87-1)*12</f>
        <v>-4.0963499889296262E-2</v>
      </c>
      <c r="I87" s="15">
        <f>(Sheet1!I88/Sheet1!I87-1)*12</f>
        <v>-0.91791572609264227</v>
      </c>
      <c r="J87" s="15">
        <f>(Sheet1!J88/Sheet1!J87-1)*12</f>
        <v>-0.13865060431598764</v>
      </c>
      <c r="K87" s="16">
        <f>(Sheet1!K88/Sheet1!K87-1)*12</f>
        <v>-0.10562314162890285</v>
      </c>
    </row>
    <row r="88" spans="1:11" x14ac:dyDescent="0.2">
      <c r="A88" s="50">
        <v>43191</v>
      </c>
      <c r="B88" s="43">
        <f>(Sheet1!B89/Sheet1!B88-1)*12</f>
        <v>-0.17980419065601305</v>
      </c>
      <c r="C88" s="43">
        <f>(Sheet1!C89/Sheet1!C88-1)*12</f>
        <v>-6.6330415545610144E-2</v>
      </c>
      <c r="D88" s="43">
        <f>(Sheet1!D89/Sheet1!D88-1)*12</f>
        <v>-0.62308597434836654</v>
      </c>
      <c r="E88" s="43">
        <f>(Sheet1!E89/Sheet1!E88-1)*12</f>
        <v>8.0267175669891166E-2</v>
      </c>
      <c r="F88" s="43">
        <f>(Sheet1!F89/Sheet1!F88-1)*12</f>
        <v>1.6914377575742101E-2</v>
      </c>
      <c r="G88" s="43">
        <f>(Sheet1!G89/Sheet1!G88-1)*12</f>
        <v>0.29582315142317661</v>
      </c>
      <c r="H88" s="43">
        <f>(Sheet1!H89/Sheet1!H88-1)*12</f>
        <v>0.21306365354110657</v>
      </c>
      <c r="I88" s="43">
        <f>(Sheet1!I89/Sheet1!I88-1)*12</f>
        <v>0.25548591292704437</v>
      </c>
      <c r="J88" s="43">
        <f>(Sheet1!J89/Sheet1!J88-1)*12</f>
        <v>2.3459192478672009E-3</v>
      </c>
      <c r="K88" s="44">
        <f>(Sheet1!K89/Sheet1!K88-1)*12</f>
        <v>0.38956035773065256</v>
      </c>
    </row>
    <row r="89" spans="1:11" x14ac:dyDescent="0.2">
      <c r="A89" s="87">
        <v>43221</v>
      </c>
      <c r="B89" s="15">
        <f>(Sheet1!B90/Sheet1!B89-1)*12</f>
        <v>0.46938923030869084</v>
      </c>
      <c r="C89" s="15">
        <f>(Sheet1!C90/Sheet1!C89-1)*12</f>
        <v>-0.18759922626173653</v>
      </c>
      <c r="D89" s="15">
        <f>(Sheet1!D90/Sheet1!D89-1)*12</f>
        <v>0.32991436483026959</v>
      </c>
      <c r="E89" s="15">
        <f>(Sheet1!E90/Sheet1!E89-1)*12</f>
        <v>0.68074901780767849</v>
      </c>
      <c r="F89" s="15">
        <f>(Sheet1!F90/Sheet1!F89-1)*12</f>
        <v>-0.35294075964403637</v>
      </c>
      <c r="G89" s="15">
        <f>(Sheet1!G90/Sheet1!G89-1)*12</f>
        <v>0.68263668701371572</v>
      </c>
      <c r="H89" s="15">
        <f>(Sheet1!H90/Sheet1!H89-1)*12</f>
        <v>0.81588842866540023</v>
      </c>
      <c r="I89" s="15">
        <f>(Sheet1!I90/Sheet1!I89-1)*12</f>
        <v>1.9466490741864586</v>
      </c>
      <c r="J89" s="15">
        <f>(Sheet1!J90/Sheet1!J89-1)*12</f>
        <v>-0.80307562935307297</v>
      </c>
      <c r="K89" s="16">
        <f>(Sheet1!K90/Sheet1!K89-1)*12</f>
        <v>0.59832964430500279</v>
      </c>
    </row>
    <row r="90" spans="1:11" x14ac:dyDescent="0.2">
      <c r="A90" s="50">
        <v>43252</v>
      </c>
      <c r="B90" s="43">
        <f>(Sheet1!B91/Sheet1!B90-1)*12</f>
        <v>0.60485600046125487</v>
      </c>
      <c r="C90" s="43">
        <f>(Sheet1!C91/Sheet1!C90-1)*12</f>
        <v>-1.6018121046636855</v>
      </c>
      <c r="D90" s="43">
        <f>(Sheet1!D91/Sheet1!D90-1)*12</f>
        <v>1.0626454873646205</v>
      </c>
      <c r="E90" s="43">
        <f>(Sheet1!E91/Sheet1!E90-1)*12</f>
        <v>0.11148371938568236</v>
      </c>
      <c r="F90" s="43">
        <f>(Sheet1!F91/Sheet1!F90-1)*12</f>
        <v>-0.3036456334145643</v>
      </c>
      <c r="G90" s="43">
        <f>(Sheet1!G91/Sheet1!G90-1)*12</f>
        <v>2.3967751606607024E-2</v>
      </c>
      <c r="H90" s="43">
        <f>(Sheet1!H91/Sheet1!H90-1)*12</f>
        <v>0.4039565792691846</v>
      </c>
      <c r="I90" s="43">
        <f>(Sheet1!I91/Sheet1!I90-1)*12</f>
        <v>-0.92739860069053348</v>
      </c>
      <c r="J90" s="43">
        <f>(Sheet1!J91/Sheet1!J90-1)*12</f>
        <v>0.5305941218025847</v>
      </c>
      <c r="K90" s="44">
        <f>(Sheet1!K91/Sheet1!K90-1)*12</f>
        <v>1.3169925332887455</v>
      </c>
    </row>
    <row r="91" spans="1:11" x14ac:dyDescent="0.2">
      <c r="A91" s="87">
        <v>43282</v>
      </c>
      <c r="B91" s="15">
        <f>(Sheet1!B92/Sheet1!B91-1)*12</f>
        <v>-0.31249082140715778</v>
      </c>
      <c r="C91" s="15">
        <f>(Sheet1!C92/Sheet1!C91-1)*12</f>
        <v>0.86960378614406775</v>
      </c>
      <c r="D91" s="15">
        <f>(Sheet1!D92/Sheet1!D91-1)*12</f>
        <v>0.64611832407796843</v>
      </c>
      <c r="E91" s="15">
        <f>(Sheet1!E92/Sheet1!E91-1)*12</f>
        <v>0.36196903148990245</v>
      </c>
      <c r="F91" s="15">
        <f>(Sheet1!F92/Sheet1!F91-1)*12</f>
        <v>1.1450873323252679</v>
      </c>
      <c r="G91" s="15">
        <f>(Sheet1!G92/Sheet1!G91-1)*12</f>
        <v>0.90903588677386438</v>
      </c>
      <c r="H91" s="15">
        <f>(Sheet1!H92/Sheet1!H91-1)*12</f>
        <v>9.0372172628297776E-2</v>
      </c>
      <c r="I91" s="15">
        <f>(Sheet1!I92/Sheet1!I91-1)*12</f>
        <v>-0.35305922512199839</v>
      </c>
      <c r="J91" s="15">
        <f>(Sheet1!J92/Sheet1!J91-1)*12</f>
        <v>0.50157573731647975</v>
      </c>
      <c r="K91" s="16">
        <f>(Sheet1!K92/Sheet1!K91-1)*12</f>
        <v>-0.38481204501460997</v>
      </c>
    </row>
    <row r="92" spans="1:11" x14ac:dyDescent="0.2">
      <c r="A92" s="50">
        <v>43313</v>
      </c>
      <c r="B92" s="43">
        <f>(Sheet1!B93/Sheet1!B92-1)*12</f>
        <v>0.73357263488109492</v>
      </c>
      <c r="C92" s="43">
        <f>(Sheet1!C93/Sheet1!C92-1)*12</f>
        <v>0.24279321804182352</v>
      </c>
      <c r="D92" s="43">
        <f>(Sheet1!D93/Sheet1!D92-1)*12</f>
        <v>0.62421369863013609</v>
      </c>
      <c r="E92" s="43">
        <f>(Sheet1!E93/Sheet1!E92-1)*12</f>
        <v>0.6936822541171983</v>
      </c>
      <c r="F92" s="43">
        <f>(Sheet1!F93/Sheet1!F92-1)*12</f>
        <v>1.9430187759326145E-2</v>
      </c>
      <c r="G92" s="43">
        <f>(Sheet1!G93/Sheet1!G92-1)*12</f>
        <v>0.70701196565709523</v>
      </c>
      <c r="H92" s="43">
        <f>(Sheet1!H93/Sheet1!H92-1)*12</f>
        <v>1.0806858985480554</v>
      </c>
      <c r="I92" s="43">
        <f>(Sheet1!I93/Sheet1!I92-1)*12</f>
        <v>-0.58876479923012015</v>
      </c>
      <c r="J92" s="43">
        <f>(Sheet1!J93/Sheet1!J92-1)*12</f>
        <v>0.89162832422342575</v>
      </c>
      <c r="K92" s="44">
        <f>(Sheet1!K93/Sheet1!K92-1)*12</f>
        <v>0.82537883140924606</v>
      </c>
    </row>
    <row r="93" spans="1:11" x14ac:dyDescent="0.2">
      <c r="A93" s="87">
        <v>43344</v>
      </c>
      <c r="B93" s="15">
        <f>(Sheet1!B94/Sheet1!B93-1)*12</f>
        <v>8.0202498630572272E-2</v>
      </c>
      <c r="C93" s="15">
        <f>(Sheet1!C94/Sheet1!C93-1)*12</f>
        <v>0.84992601565918591</v>
      </c>
      <c r="D93" s="15">
        <f>(Sheet1!D94/Sheet1!D93-1)*12</f>
        <v>0.80661619543846008</v>
      </c>
      <c r="E93" s="15">
        <f>(Sheet1!E94/Sheet1!E93-1)*12</f>
        <v>-5.5291743038827779E-2</v>
      </c>
      <c r="F93" s="15">
        <f>(Sheet1!F94/Sheet1!F93-1)*12</f>
        <v>-0.57032099978909345</v>
      </c>
      <c r="G93" s="15">
        <f>(Sheet1!G94/Sheet1!G93-1)*12</f>
        <v>0.26494824973198661</v>
      </c>
      <c r="H93" s="15">
        <f>(Sheet1!H94/Sheet1!H93-1)*12</f>
        <v>0.39246433781128331</v>
      </c>
      <c r="I93" s="15">
        <f>(Sheet1!I94/Sheet1!I93-1)*12</f>
        <v>-0.79223314759916885</v>
      </c>
      <c r="J93" s="15">
        <f>(Sheet1!J94/Sheet1!J93-1)*12</f>
        <v>-0.17582645085812443</v>
      </c>
      <c r="K93" s="16">
        <f>(Sheet1!K94/Sheet1!K93-1)*12</f>
        <v>0.39834533765229185</v>
      </c>
    </row>
    <row r="94" spans="1:11" x14ac:dyDescent="0.2">
      <c r="A94" s="50">
        <v>43374</v>
      </c>
      <c r="B94" s="43">
        <f>(Sheet1!B95/Sheet1!B94-1)*12</f>
        <v>-0.88695648884452227</v>
      </c>
      <c r="C94" s="43">
        <f>(Sheet1!C95/Sheet1!C94-1)*12</f>
        <v>0.3019004628785682</v>
      </c>
      <c r="D94" s="43">
        <f>(Sheet1!D95/Sheet1!D94-1)*12</f>
        <v>-1.2900248873858247</v>
      </c>
      <c r="E94" s="43">
        <f>(Sheet1!E95/Sheet1!E94-1)*12</f>
        <v>-1.0117474717354824</v>
      </c>
      <c r="F94" s="43">
        <f>(Sheet1!F95/Sheet1!F94-1)*12</f>
        <v>-0.74422056861754049</v>
      </c>
      <c r="G94" s="43">
        <f>(Sheet1!G95/Sheet1!G94-1)*12</f>
        <v>-0.79321548717396784</v>
      </c>
      <c r="H94" s="43">
        <f>(Sheet1!H95/Sheet1!H94-1)*12</f>
        <v>-1.3444131790075904</v>
      </c>
      <c r="I94" s="43">
        <f>(Sheet1!I95/Sheet1!I94-1)*12</f>
        <v>1.182638730508522</v>
      </c>
      <c r="J94" s="43">
        <f>(Sheet1!J95/Sheet1!J94-1)*12</f>
        <v>0.81396988619069077</v>
      </c>
      <c r="K94" s="44">
        <f>(Sheet1!K95/Sheet1!K94-1)*12</f>
        <v>-1.3711031297319178</v>
      </c>
    </row>
    <row r="95" spans="1:11" x14ac:dyDescent="0.2">
      <c r="A95" s="87">
        <v>43405</v>
      </c>
      <c r="B95" s="15">
        <f>(Sheet1!B96/Sheet1!B95-1)*12</f>
        <v>0.63979426674283513</v>
      </c>
      <c r="C95" s="15">
        <f>(Sheet1!C96/Sheet1!C95-1)*12</f>
        <v>1.7401765268919629</v>
      </c>
      <c r="D95" s="15">
        <f>(Sheet1!D96/Sheet1!D95-1)*12</f>
        <v>-0.29041218750393138</v>
      </c>
      <c r="E95" s="15">
        <f>(Sheet1!E96/Sheet1!E95-1)*12</f>
        <v>-3.1798376622333535E-2</v>
      </c>
      <c r="F95" s="15">
        <f>(Sheet1!F96/Sheet1!F95-1)*12</f>
        <v>0.39272645765384784</v>
      </c>
      <c r="G95" s="15">
        <f>(Sheet1!G96/Sheet1!G95-1)*12</f>
        <v>0.45838621037962124</v>
      </c>
      <c r="H95" s="15">
        <f>(Sheet1!H96/Sheet1!H95-1)*12</f>
        <v>0.22053975617169908</v>
      </c>
      <c r="I95" s="15">
        <f>(Sheet1!I96/Sheet1!I95-1)*12</f>
        <v>0.44602519013900022</v>
      </c>
      <c r="J95" s="15">
        <f>(Sheet1!J96/Sheet1!J95-1)*12</f>
        <v>-0.31471694916238357</v>
      </c>
      <c r="K95" s="16">
        <f>(Sheet1!K96/Sheet1!K95-1)*12</f>
        <v>1.2794872038367266E-2</v>
      </c>
    </row>
    <row r="96" spans="1:11" x14ac:dyDescent="0.2">
      <c r="A96" s="50">
        <v>43435</v>
      </c>
      <c r="B96" s="43">
        <f>(Sheet1!B97/Sheet1!B96-1)*12</f>
        <v>-1.7148074044765909</v>
      </c>
      <c r="C96" s="43">
        <f>(Sheet1!C97/Sheet1!C96-1)*12</f>
        <v>-0.35507762351031502</v>
      </c>
      <c r="D96" s="43">
        <f>(Sheet1!D97/Sheet1!D96-1)*12</f>
        <v>-1.0314277167739503</v>
      </c>
      <c r="E96" s="43">
        <f>(Sheet1!E97/Sheet1!E96-1)*12</f>
        <v>-1.0705559385176566</v>
      </c>
      <c r="F96" s="43">
        <f>(Sheet1!F97/Sheet1!F96-1)*12</f>
        <v>-1.5887327392181927</v>
      </c>
      <c r="G96" s="43">
        <f>(Sheet1!G97/Sheet1!G96-1)*12</f>
        <v>-0.96108461761246966</v>
      </c>
      <c r="H96" s="43">
        <f>(Sheet1!H97/Sheet1!H96-1)*12</f>
        <v>-0.74123576128642776</v>
      </c>
      <c r="I96" s="43">
        <f>(Sheet1!I97/Sheet1!I96-1)*12</f>
        <v>-1.4229239873431969</v>
      </c>
      <c r="J96" s="43">
        <f>(Sheet1!J97/Sheet1!J96-1)*12</f>
        <v>-0.55299644858973052</v>
      </c>
      <c r="K96" s="44">
        <f>(Sheet1!K97/Sheet1!K96-1)*12</f>
        <v>-0.12139856136341809</v>
      </c>
    </row>
    <row r="97" spans="1:11" x14ac:dyDescent="0.2">
      <c r="A97" s="87">
        <v>43466</v>
      </c>
      <c r="B97" s="15">
        <f>(Sheet1!B98/Sheet1!B97-1)*12</f>
        <v>1.0671576689858604</v>
      </c>
      <c r="C97" s="15">
        <f>(Sheet1!C98/Sheet1!C97-1)*12</f>
        <v>0.69689433380009724</v>
      </c>
      <c r="D97" s="15">
        <f>(Sheet1!D98/Sheet1!D97-1)*12</f>
        <v>0.4573322381386129</v>
      </c>
      <c r="E97" s="15">
        <f>(Sheet1!E98/Sheet1!E97-1)*12</f>
        <v>1.1187179630440429</v>
      </c>
      <c r="F97" s="15">
        <f>(Sheet1!F98/Sheet1!F97-1)*12</f>
        <v>1.9427477744814787</v>
      </c>
      <c r="G97" s="15">
        <f>(Sheet1!G98/Sheet1!G97-1)*12</f>
        <v>0.33789535855697483</v>
      </c>
      <c r="H97" s="15">
        <f>(Sheet1!H98/Sheet1!H97-1)*12</f>
        <v>1.4299511957465425</v>
      </c>
      <c r="I97" s="15">
        <f>(Sheet1!I98/Sheet1!I97-1)*12</f>
        <v>2.145391215771066</v>
      </c>
      <c r="J97" s="15">
        <f>(Sheet1!J98/Sheet1!J97-1)*12</f>
        <v>0.41261730465049773</v>
      </c>
      <c r="K97" s="16">
        <f>(Sheet1!K98/Sheet1!K97-1)*12</f>
        <v>1.2527630664392362</v>
      </c>
    </row>
    <row r="98" spans="1:11" x14ac:dyDescent="0.2">
      <c r="A98" s="50">
        <v>43497</v>
      </c>
      <c r="B98" s="43">
        <f>(Sheet1!B99/Sheet1!B98-1)*12</f>
        <v>0.61191768773026833</v>
      </c>
      <c r="C98" s="43">
        <f>(Sheet1!C99/Sheet1!C98-1)*12</f>
        <v>0.37334957328370688</v>
      </c>
      <c r="D98" s="43">
        <f>(Sheet1!D99/Sheet1!D98-1)*12</f>
        <v>-0.50997534936104172</v>
      </c>
      <c r="E98" s="43">
        <f>(Sheet1!E99/Sheet1!E98-1)*12</f>
        <v>0.35894301983795707</v>
      </c>
      <c r="F98" s="43">
        <f>(Sheet1!F99/Sheet1!F98-1)*12</f>
        <v>0.2571125568252759</v>
      </c>
      <c r="G98" s="43">
        <f>(Sheet1!G99/Sheet1!G98-1)*12</f>
        <v>0.87331264563799316</v>
      </c>
      <c r="H98" s="43">
        <f>(Sheet1!H99/Sheet1!H98-1)*12</f>
        <v>0.7973397368314421</v>
      </c>
      <c r="I98" s="43">
        <f>(Sheet1!I99/Sheet1!I98-1)*12</f>
        <v>0.1414658833256901</v>
      </c>
      <c r="J98" s="43">
        <f>(Sheet1!J99/Sheet1!J98-1)*12</f>
        <v>0.39570100763604898</v>
      </c>
      <c r="K98" s="44">
        <f>(Sheet1!K99/Sheet1!K98-1)*12</f>
        <v>0.56424438359362217</v>
      </c>
    </row>
    <row r="99" spans="1:11" x14ac:dyDescent="0.2">
      <c r="A99" s="87">
        <v>43525</v>
      </c>
      <c r="B99" s="15">
        <f>(Sheet1!B100/Sheet1!B99-1)*12</f>
        <v>1.0886121981957615</v>
      </c>
      <c r="C99" s="15">
        <f>(Sheet1!C100/Sheet1!C99-1)*12</f>
        <v>0.76310283354598774</v>
      </c>
      <c r="D99" s="15">
        <f>(Sheet1!D100/Sheet1!D99-1)*12</f>
        <v>-1.437799481650365</v>
      </c>
      <c r="E99" s="15">
        <f>(Sheet1!E100/Sheet1!E99-1)*12</f>
        <v>0.44829274580314404</v>
      </c>
      <c r="F99" s="15">
        <f>(Sheet1!F100/Sheet1!F99-1)*12</f>
        <v>-0.5567279025859877</v>
      </c>
      <c r="G99" s="15">
        <f>(Sheet1!G100/Sheet1!G99-1)*12</f>
        <v>0.68699620553883634</v>
      </c>
      <c r="H99" s="15">
        <f>(Sheet1!H100/Sheet1!H99-1)*12</f>
        <v>0.57018269813917311</v>
      </c>
      <c r="I99" s="15">
        <f>(Sheet1!I100/Sheet1!I99-1)*12</f>
        <v>-0.72340465322356007</v>
      </c>
      <c r="J99" s="15">
        <f>(Sheet1!J100/Sheet1!J99-1)*12</f>
        <v>-0.17698799073513127</v>
      </c>
      <c r="K99" s="16">
        <f>(Sheet1!K100/Sheet1!K99-1)*12</f>
        <v>-0.21276386937412539</v>
      </c>
    </row>
    <row r="100" spans="1:11" x14ac:dyDescent="0.2">
      <c r="A100" s="50">
        <v>43556</v>
      </c>
      <c r="B100" s="43">
        <f>(Sheet1!B101/Sheet1!B100-1)*12</f>
        <v>0.45335786098460495</v>
      </c>
      <c r="C100" s="43">
        <f>(Sheet1!C101/Sheet1!C100-1)*12</f>
        <v>0.53914418768122463</v>
      </c>
      <c r="D100" s="43">
        <f>(Sheet1!D101/Sheet1!D100-1)*12</f>
        <v>2.3096581292775529</v>
      </c>
      <c r="E100" s="43">
        <f>(Sheet1!E101/Sheet1!E100-1)*12</f>
        <v>0.68295436157813239</v>
      </c>
      <c r="F100" s="43">
        <f>(Sheet1!F101/Sheet1!F100-1)*12</f>
        <v>1.3004712785719521</v>
      </c>
      <c r="G100" s="43">
        <f>(Sheet1!G101/Sheet1!G100-1)*12</f>
        <v>1.2881144256433519</v>
      </c>
      <c r="H100" s="43">
        <f>(Sheet1!H101/Sheet1!H100-1)*12</f>
        <v>0.95765798439730876</v>
      </c>
      <c r="I100" s="43">
        <f>(Sheet1!I101/Sheet1!I100-1)*12</f>
        <v>0.72341416358979327</v>
      </c>
      <c r="J100" s="43">
        <f>(Sheet1!J101/Sheet1!J100-1)*12</f>
        <v>0.72142228910430006</v>
      </c>
      <c r="K100" s="44">
        <f>(Sheet1!K101/Sheet1!K100-1)*12</f>
        <v>0.54805542190605472</v>
      </c>
    </row>
    <row r="101" spans="1:11" x14ac:dyDescent="0.2">
      <c r="A101" s="87">
        <v>43586</v>
      </c>
      <c r="B101" s="15">
        <f>(Sheet1!B102/Sheet1!B101-1)*12</f>
        <v>-0.20529408415273931</v>
      </c>
      <c r="C101" s="15">
        <f>(Sheet1!C102/Sheet1!C101-1)*12</f>
        <v>-0.25025536583857688</v>
      </c>
      <c r="D101" s="15">
        <f>(Sheet1!D102/Sheet1!D101-1)*12</f>
        <v>-0.56462157166213167</v>
      </c>
      <c r="E101" s="15">
        <f>(Sheet1!E102/Sheet1!E101-1)*12</f>
        <v>-0.98702115124699974</v>
      </c>
      <c r="F101" s="15">
        <f>(Sheet1!F102/Sheet1!F101-1)*12</f>
        <v>-1.5618058888180464</v>
      </c>
      <c r="G101" s="15">
        <f>(Sheet1!G102/Sheet1!G101-1)*12</f>
        <v>-0.63583576191750391</v>
      </c>
      <c r="H101" s="15">
        <f>(Sheet1!H102/Sheet1!H101-1)*12</f>
        <v>-0.1132231852722283</v>
      </c>
      <c r="I101" s="15">
        <f>(Sheet1!I102/Sheet1!I101-1)*12</f>
        <v>-1.7283706233740737</v>
      </c>
      <c r="J101" s="15">
        <f>(Sheet1!J102/Sheet1!J101-1)*12</f>
        <v>-0.16336105301658632</v>
      </c>
      <c r="K101" s="16">
        <f>(Sheet1!K102/Sheet1!K101-1)*12</f>
        <v>-1.4605503343968862</v>
      </c>
    </row>
    <row r="102" spans="1:11" x14ac:dyDescent="0.2">
      <c r="A102" s="50">
        <v>43617</v>
      </c>
      <c r="B102" s="43">
        <f>(Sheet1!B103/Sheet1!B102-1)*12</f>
        <v>0.45150830744383175</v>
      </c>
      <c r="C102" s="43">
        <f>(Sheet1!C103/Sheet1!C102-1)*12</f>
        <v>1.2872299532754301</v>
      </c>
      <c r="D102" s="43">
        <f>(Sheet1!D103/Sheet1!D102-1)*12</f>
        <v>1.0974997500000017</v>
      </c>
      <c r="E102" s="43">
        <f>(Sheet1!E103/Sheet1!E102-1)*12</f>
        <v>0.88232164369115473</v>
      </c>
      <c r="F102" s="43">
        <f>(Sheet1!F103/Sheet1!F102-1)*12</f>
        <v>1.0827066351361578</v>
      </c>
      <c r="G102" s="43">
        <f>(Sheet1!G103/Sheet1!G102-1)*12</f>
        <v>1.0455244528915584</v>
      </c>
      <c r="H102" s="43">
        <f>(Sheet1!H103/Sheet1!H102-1)*12</f>
        <v>0.6222130381515365</v>
      </c>
      <c r="I102" s="43">
        <f>(Sheet1!I103/Sheet1!I102-1)*12</f>
        <v>1.8680260449702253</v>
      </c>
      <c r="J102" s="43">
        <f>(Sheet1!J103/Sheet1!J102-1)*12</f>
        <v>1.1400174984990255</v>
      </c>
      <c r="K102" s="44">
        <f>(Sheet1!K103/Sheet1!K102-1)*12</f>
        <v>1.0957234577616983</v>
      </c>
    </row>
    <row r="103" spans="1:11" x14ac:dyDescent="0.2">
      <c r="A103" s="87">
        <v>43647</v>
      </c>
      <c r="B103" s="15">
        <f>(Sheet1!B104/Sheet1!B103-1)*12</f>
        <v>0.50722408386305595</v>
      </c>
      <c r="C103" s="15">
        <f>(Sheet1!C104/Sheet1!C103-1)*12</f>
        <v>1.5545739740507702</v>
      </c>
      <c r="D103" s="15">
        <f>(Sheet1!D104/Sheet1!D103-1)*12</f>
        <v>1.023859992820384</v>
      </c>
      <c r="E103" s="15">
        <f>(Sheet1!E104/Sheet1!E103-1)*12</f>
        <v>0.30732846225434685</v>
      </c>
      <c r="F103" s="15">
        <f>(Sheet1!F104/Sheet1!F103-1)*12</f>
        <v>0.76377016106913231</v>
      </c>
      <c r="G103" s="15">
        <f>(Sheet1!G104/Sheet1!G103-1)*12</f>
        <v>0.20692771726802661</v>
      </c>
      <c r="H103" s="15">
        <f>(Sheet1!H104/Sheet1!H103-1)*12</f>
        <v>0.35111423270391739</v>
      </c>
      <c r="I103" s="15">
        <f>(Sheet1!I104/Sheet1!I103-1)*12</f>
        <v>0.69835287556044445</v>
      </c>
      <c r="J103" s="15">
        <f>(Sheet1!J104/Sheet1!J103-1)*12</f>
        <v>-1.1948293530576581E-2</v>
      </c>
      <c r="K103" s="16">
        <f>(Sheet1!K104/Sheet1!K103-1)*12</f>
        <v>0.2973207260913231</v>
      </c>
    </row>
    <row r="104" spans="1:11" x14ac:dyDescent="0.2">
      <c r="A104" s="50">
        <v>43678</v>
      </c>
      <c r="B104" s="43">
        <f>(Sheet1!B105/Sheet1!B104-1)*12</f>
        <v>0.34832184855532855</v>
      </c>
      <c r="C104" s="43">
        <f>(Sheet1!C105/Sheet1!C104-1)*12</f>
        <v>0.23698410714472473</v>
      </c>
      <c r="D104" s="43">
        <f>(Sheet1!D105/Sheet1!D104-1)*12</f>
        <v>1.0552022325851951E-2</v>
      </c>
      <c r="E104" s="43">
        <f>(Sheet1!E105/Sheet1!E104-1)*12</f>
        <v>-0.22794440856657427</v>
      </c>
      <c r="F104" s="43">
        <f>(Sheet1!F105/Sheet1!F104-1)*12</f>
        <v>-1.2398947752085911</v>
      </c>
      <c r="G104" s="43">
        <f>(Sheet1!G105/Sheet1!G104-1)*12</f>
        <v>0.14001495901088923</v>
      </c>
      <c r="H104" s="43">
        <f>(Sheet1!H105/Sheet1!H104-1)*12</f>
        <v>0.4161275728801499</v>
      </c>
      <c r="I104" s="43">
        <f>(Sheet1!I105/Sheet1!I104-1)*12</f>
        <v>-0.96678190197689728</v>
      </c>
      <c r="J104" s="43">
        <f>(Sheet1!J105/Sheet1!J104-1)*12</f>
        <v>0.42181820707772832</v>
      </c>
      <c r="K104" s="44">
        <f>(Sheet1!K105/Sheet1!K104-1)*12</f>
        <v>-0.21341425959410731</v>
      </c>
    </row>
    <row r="105" spans="1:11" x14ac:dyDescent="0.2">
      <c r="A105" s="87">
        <v>43709</v>
      </c>
      <c r="B105" s="15">
        <f>(Sheet1!B106/Sheet1!B105-1)*12</f>
        <v>-0.35242343527695885</v>
      </c>
      <c r="C105" s="15">
        <f>(Sheet1!C106/Sheet1!C105-1)*12</f>
        <v>-0.96994961907161592</v>
      </c>
      <c r="D105" s="15">
        <f>(Sheet1!D106/Sheet1!D105-1)*12</f>
        <v>0.46810774907749142</v>
      </c>
      <c r="E105" s="15">
        <f>(Sheet1!E106/Sheet1!E105-1)*12</f>
        <v>8.577358304000704E-2</v>
      </c>
      <c r="F105" s="15">
        <f>(Sheet1!F106/Sheet1!F105-1)*12</f>
        <v>0.72409944334070353</v>
      </c>
      <c r="G105" s="15">
        <f>(Sheet1!G106/Sheet1!G105-1)*12</f>
        <v>0.1421396641794006</v>
      </c>
      <c r="H105" s="15">
        <f>(Sheet1!H106/Sheet1!H105-1)*12</f>
        <v>-0.41795565686141156</v>
      </c>
      <c r="I105" s="15">
        <f>(Sheet1!I106/Sheet1!I105-1)*12</f>
        <v>0.12617963335151838</v>
      </c>
      <c r="J105" s="15">
        <f>(Sheet1!J106/Sheet1!J105-1)*12</f>
        <v>0.52555780014283737</v>
      </c>
      <c r="K105" s="16">
        <f>(Sheet1!K106/Sheet1!K105-1)*12</f>
        <v>1.3722063951874324</v>
      </c>
    </row>
    <row r="106" spans="1:11" x14ac:dyDescent="0.2">
      <c r="A106" s="50">
        <v>43739</v>
      </c>
      <c r="B106" s="43">
        <f>(Sheet1!B107/Sheet1!B106-1)*12</f>
        <v>-0.43233700727091673</v>
      </c>
      <c r="C106" s="43">
        <f>(Sheet1!C107/Sheet1!C106-1)*12</f>
        <v>-0.52386393874736692</v>
      </c>
      <c r="D106" s="43">
        <f>(Sheet1!D107/Sheet1!D106-1)*12</f>
        <v>0.34500273389138059</v>
      </c>
      <c r="E106" s="43">
        <f>(Sheet1!E107/Sheet1!E106-1)*12</f>
        <v>0.55086642599316527</v>
      </c>
      <c r="F106" s="43">
        <f>(Sheet1!F107/Sheet1!F106-1)*12</f>
        <v>0.94868666830241288</v>
      </c>
      <c r="G106" s="43">
        <f>(Sheet1!G107/Sheet1!G106-1)*12</f>
        <v>0.37459578481040534</v>
      </c>
      <c r="H106" s="43">
        <f>(Sheet1!H107/Sheet1!H106-1)*12</f>
        <v>0.23154307645065231</v>
      </c>
      <c r="I106" s="43">
        <f>(Sheet1!I107/Sheet1!I106-1)*12</f>
        <v>1.6959570294911686E-2</v>
      </c>
      <c r="J106" s="43">
        <f>(Sheet1!J107/Sheet1!J106-1)*12</f>
        <v>-0.14357940838471528</v>
      </c>
      <c r="K106" s="44">
        <f>(Sheet1!K107/Sheet1!K106-1)*12</f>
        <v>-0.55834668171239743</v>
      </c>
    </row>
    <row r="107" spans="1:11" x14ac:dyDescent="0.2">
      <c r="A107" s="87">
        <v>43770</v>
      </c>
      <c r="B107" s="15">
        <f>(Sheet1!B108/Sheet1!B107-1)*12</f>
        <v>1.0745948863518899</v>
      </c>
      <c r="C107" s="15">
        <f>(Sheet1!C108/Sheet1!C107-1)*12</f>
        <v>0.12346222260559703</v>
      </c>
      <c r="D107" s="15">
        <f>(Sheet1!D108/Sheet1!D107-1)*12</f>
        <v>0.52276795913963614</v>
      </c>
      <c r="E107" s="15">
        <f>(Sheet1!E108/Sheet1!E107-1)*12</f>
        <v>0.48832985145793373</v>
      </c>
      <c r="F107" s="15">
        <f>(Sheet1!F108/Sheet1!F107-1)*12</f>
        <v>0.78669519698718915</v>
      </c>
      <c r="G107" s="15">
        <f>(Sheet1!G108/Sheet1!G107-1)*12</f>
        <v>0.67043385189274307</v>
      </c>
      <c r="H107" s="15">
        <f>(Sheet1!H108/Sheet1!H107-1)*12</f>
        <v>0.6838496018202278</v>
      </c>
      <c r="I107" s="15">
        <f>(Sheet1!I108/Sheet1!I107-1)*12</f>
        <v>-0.37459595252128253</v>
      </c>
      <c r="J107" s="15">
        <f>(Sheet1!J108/Sheet1!J107-1)*12</f>
        <v>0.1872758473153171</v>
      </c>
      <c r="K107" s="16">
        <f>(Sheet1!K108/Sheet1!K107-1)*12</f>
        <v>0.52797190540828609</v>
      </c>
    </row>
    <row r="108" spans="1:11" x14ac:dyDescent="0.2">
      <c r="A108" s="50">
        <v>43800</v>
      </c>
      <c r="B108" s="43">
        <f>(Sheet1!B109/Sheet1!B108-1)*12</f>
        <v>0.56134393981504793</v>
      </c>
      <c r="C108" s="43">
        <f>(Sheet1!C109/Sheet1!C108-1)*12</f>
        <v>0.41149271009193011</v>
      </c>
      <c r="D108" s="43">
        <f>(Sheet1!D109/Sheet1!D108-1)*12</f>
        <v>0.85444234404537056</v>
      </c>
      <c r="E108" s="43">
        <f>(Sheet1!E109/Sheet1!E108-1)*12</f>
        <v>0.43939507426092295</v>
      </c>
      <c r="F108" s="43">
        <f>(Sheet1!F109/Sheet1!F108-1)*12</f>
        <v>0.68427739166580182</v>
      </c>
      <c r="G108" s="43">
        <f>(Sheet1!G109/Sheet1!G108-1)*12</f>
        <v>0.54352932783158803</v>
      </c>
      <c r="H108" s="43">
        <f>(Sheet1!H109/Sheet1!H108-1)*12</f>
        <v>0.2611641090972201</v>
      </c>
      <c r="I108" s="43">
        <f>(Sheet1!I109/Sheet1!I108-1)*12</f>
        <v>0.19999937479769869</v>
      </c>
      <c r="J108" s="43">
        <f>(Sheet1!J109/Sheet1!J108-1)*12</f>
        <v>-2.5192030733597104E-2</v>
      </c>
      <c r="K108" s="44">
        <f>(Sheet1!K109/Sheet1!K108-1)*12</f>
        <v>1.0376745227447675</v>
      </c>
    </row>
    <row r="109" spans="1:11" x14ac:dyDescent="0.2">
      <c r="A109" s="87">
        <v>43831</v>
      </c>
      <c r="B109" s="15">
        <f>(Sheet1!B110/Sheet1!B109-1)*12</f>
        <v>-0.30545609706503951</v>
      </c>
      <c r="C109" s="15">
        <f>(Sheet1!C110/Sheet1!C109-1)*12</f>
        <v>-0.4217461685607673</v>
      </c>
      <c r="D109" s="15">
        <f>(Sheet1!D110/Sheet1!D109-1)*12</f>
        <v>0.38470588235294301</v>
      </c>
      <c r="E109" s="15">
        <f>(Sheet1!E110/Sheet1!E109-1)*12</f>
        <v>0.39141941337461272</v>
      </c>
      <c r="F109" s="15">
        <f>(Sheet1!F110/Sheet1!F109-1)*12</f>
        <v>-0.75324224101790049</v>
      </c>
      <c r="G109" s="15">
        <f>(Sheet1!G110/Sheet1!G109-1)*12</f>
        <v>0.95345477545252599</v>
      </c>
      <c r="H109" s="15">
        <f>(Sheet1!H110/Sheet1!H109-1)*12</f>
        <v>0.69727650645398853</v>
      </c>
      <c r="I109" s="15">
        <f>(Sheet1!I110/Sheet1!I109-1)*12</f>
        <v>-0.93500893149520037</v>
      </c>
      <c r="J109" s="15">
        <f>(Sheet1!J110/Sheet1!J109-1)*12</f>
        <v>-0.38739074049168654</v>
      </c>
      <c r="K109" s="16">
        <f>(Sheet1!K110/Sheet1!K109-1)*12</f>
        <v>-0.59342440251408135</v>
      </c>
    </row>
    <row r="110" spans="1:11" x14ac:dyDescent="0.2">
      <c r="A110" s="50">
        <v>43862</v>
      </c>
      <c r="B110" s="43">
        <f>(Sheet1!B111/Sheet1!B110-1)*12</f>
        <v>-1.3988702939380442</v>
      </c>
      <c r="C110" s="43">
        <f>(Sheet1!C111/Sheet1!C110-1)*12</f>
        <v>-0.90534002530683111</v>
      </c>
      <c r="D110" s="43">
        <f>(Sheet1!D111/Sheet1!D110-1)*12</f>
        <v>-1.3644911370760915</v>
      </c>
      <c r="E110" s="43">
        <f>(Sheet1!E111/Sheet1!E110-1)*12</f>
        <v>-0.72689120796063067</v>
      </c>
      <c r="F110" s="43">
        <f>(Sheet1!F111/Sheet1!F110-1)*12</f>
        <v>-1.5826992203559889</v>
      </c>
      <c r="G110" s="43">
        <f>(Sheet1!G111/Sheet1!G110-1)*12</f>
        <v>-0.57945032369448102</v>
      </c>
      <c r="H110" s="43">
        <f>(Sheet1!H111/Sheet1!H110-1)*12</f>
        <v>-0.96104559267413814</v>
      </c>
      <c r="I110" s="43">
        <f>(Sheet1!I111/Sheet1!I110-1)*12</f>
        <v>-1.0386340824060976</v>
      </c>
      <c r="J110" s="43">
        <f>(Sheet1!J111/Sheet1!J110-1)*12</f>
        <v>-0.7137740807883497</v>
      </c>
      <c r="K110" s="44">
        <f>(Sheet1!K111/Sheet1!K110-1)*12</f>
        <v>-0.86230515026172672</v>
      </c>
    </row>
    <row r="111" spans="1:11" x14ac:dyDescent="0.2">
      <c r="A111" s="87">
        <v>43891</v>
      </c>
      <c r="B111" s="15">
        <f>(Sheet1!B112/Sheet1!B111-1)*12</f>
        <v>-1.1515591594905588</v>
      </c>
      <c r="C111" s="15">
        <f>(Sheet1!C112/Sheet1!C111-1)*12</f>
        <v>-1.8947248905345386</v>
      </c>
      <c r="D111" s="15">
        <f>(Sheet1!D112/Sheet1!D111-1)*12</f>
        <v>-0.58263683950744705</v>
      </c>
      <c r="E111" s="15">
        <f>(Sheet1!E112/Sheet1!E111-1)*12</f>
        <v>-0.89795916969368905</v>
      </c>
      <c r="F111" s="15">
        <f>(Sheet1!F112/Sheet1!F111-1)*12</f>
        <v>-3.0610535304440667</v>
      </c>
      <c r="G111" s="15">
        <f>(Sheet1!G112/Sheet1!G111-1)*12</f>
        <v>-0.28659173213234856</v>
      </c>
      <c r="H111" s="15">
        <f>(Sheet1!H112/Sheet1!H111-1)*12</f>
        <v>-2.0130231248196466</v>
      </c>
      <c r="I111" s="15">
        <f>(Sheet1!I112/Sheet1!I111-1)*12</f>
        <v>-3.8242620720663134</v>
      </c>
      <c r="J111" s="15">
        <f>(Sheet1!J112/Sheet1!J111-1)*12</f>
        <v>0.66196213970503592</v>
      </c>
      <c r="K111" s="16">
        <f>(Sheet1!K112/Sheet1!K111-1)*12</f>
        <v>-0.86065434728903289</v>
      </c>
    </row>
    <row r="112" spans="1:11" x14ac:dyDescent="0.2">
      <c r="A112" s="50">
        <v>43922</v>
      </c>
      <c r="B112" s="43">
        <f>(Sheet1!B113/Sheet1!B112-1)*12</f>
        <v>1.6119086874620461</v>
      </c>
      <c r="C112" s="43">
        <f>(Sheet1!C113/Sheet1!C112-1)*12</f>
        <v>2.0060841670001164</v>
      </c>
      <c r="D112" s="43">
        <f>(Sheet1!D113/Sheet1!D112-1)*12</f>
        <v>1.028050016897601</v>
      </c>
      <c r="E112" s="43">
        <f>(Sheet1!E113/Sheet1!E112-1)*12</f>
        <v>1.8262504000022464</v>
      </c>
      <c r="F112" s="43">
        <f>(Sheet1!F113/Sheet1!F112-1)*12</f>
        <v>1.6807103879480412</v>
      </c>
      <c r="G112" s="43">
        <f>(Sheet1!G113/Sheet1!G112-1)*12</f>
        <v>1.6359145582425372</v>
      </c>
      <c r="H112" s="43">
        <f>(Sheet1!H113/Sheet1!H112-1)*12</f>
        <v>1.6597127428868221</v>
      </c>
      <c r="I112" s="43">
        <f>(Sheet1!I113/Sheet1!I112-1)*12</f>
        <v>1.0290182546532902</v>
      </c>
      <c r="J112" s="43">
        <f>(Sheet1!J113/Sheet1!J112-1)*12</f>
        <v>0.89433187611366272</v>
      </c>
      <c r="K112" s="44">
        <f>(Sheet1!K113/Sheet1!K112-1)*12</f>
        <v>0.64394415065621136</v>
      </c>
    </row>
    <row r="113" spans="1:11" x14ac:dyDescent="0.2">
      <c r="A113" s="87">
        <v>43952</v>
      </c>
      <c r="B113" s="15">
        <f>(Sheet1!B114/Sheet1!B113-1)*12</f>
        <v>1.1235846355326604</v>
      </c>
      <c r="C113" s="15">
        <f>(Sheet1!C114/Sheet1!C113-1)*12</f>
        <v>0.19705411230707082</v>
      </c>
      <c r="D113" s="15">
        <f>(Sheet1!D114/Sheet1!D113-1)*12</f>
        <v>9.5253291828792719E-2</v>
      </c>
      <c r="E113" s="15">
        <f>(Sheet1!E114/Sheet1!E113-1)*12</f>
        <v>0.79210676006707281</v>
      </c>
      <c r="F113" s="15">
        <f>(Sheet1!F114/Sheet1!F113-1)*12</f>
        <v>3.4928450694855506E-2</v>
      </c>
      <c r="G113" s="15">
        <f>(Sheet1!G114/Sheet1!G113-1)*12</f>
        <v>0.27051962424342779</v>
      </c>
      <c r="H113" s="15">
        <f>(Sheet1!H114/Sheet1!H113-1)*12</f>
        <v>1.1514832318232919</v>
      </c>
      <c r="I113" s="15">
        <f>(Sheet1!I114/Sheet1!I113-1)*12</f>
        <v>1.9327040855673374</v>
      </c>
      <c r="J113" s="15">
        <f>(Sheet1!J114/Sheet1!J113-1)*12</f>
        <v>0.24779822884933189</v>
      </c>
      <c r="K113" s="16">
        <f>(Sheet1!K114/Sheet1!K113-1)*12</f>
        <v>1.5691676787383466</v>
      </c>
    </row>
    <row r="114" spans="1:11" x14ac:dyDescent="0.2">
      <c r="A114" s="50">
        <v>43983</v>
      </c>
      <c r="B114" s="43">
        <f>(Sheet1!B115/Sheet1!B114-1)*12</f>
        <v>0.77968502159718867</v>
      </c>
      <c r="C114" s="43">
        <f>(Sheet1!C115/Sheet1!C114-1)*12</f>
        <v>-0.61302081072030479</v>
      </c>
      <c r="D114" s="43">
        <f>(Sheet1!D115/Sheet1!D114-1)*12</f>
        <v>0.80975815905626369</v>
      </c>
      <c r="E114" s="43">
        <f>(Sheet1!E115/Sheet1!E114-1)*12</f>
        <v>0.7322591326682053</v>
      </c>
      <c r="F114" s="43">
        <f>(Sheet1!F115/Sheet1!F114-1)*12</f>
        <v>-0.18408001504905291</v>
      </c>
      <c r="G114" s="43">
        <f>(Sheet1!G115/Sheet1!G114-1)*12</f>
        <v>1.363828161873327</v>
      </c>
      <c r="H114" s="43">
        <f>(Sheet1!H115/Sheet1!H114-1)*12</f>
        <v>-0.20698486170561914</v>
      </c>
      <c r="I114" s="43">
        <f>(Sheet1!I115/Sheet1!I114-1)*12</f>
        <v>-0.26893354980423378</v>
      </c>
      <c r="J114" s="43">
        <f>(Sheet1!J115/Sheet1!J114-1)*12</f>
        <v>-0.36302726484063053</v>
      </c>
      <c r="K114" s="44">
        <f>(Sheet1!K115/Sheet1!K114-1)*12</f>
        <v>-3.4742920464391425E-2</v>
      </c>
    </row>
    <row r="115" spans="1:11" x14ac:dyDescent="0.2">
      <c r="A115" s="87">
        <v>44013</v>
      </c>
      <c r="B115" s="15">
        <f>(Sheet1!B116/Sheet1!B115-1)*12</f>
        <v>0.56222057136614456</v>
      </c>
      <c r="C115" s="15">
        <f>(Sheet1!C116/Sheet1!C115-1)*12</f>
        <v>0.4794131969883173</v>
      </c>
      <c r="D115" s="15">
        <f>(Sheet1!D116/Sheet1!D115-1)*12</f>
        <v>1.5327647706971534</v>
      </c>
      <c r="E115" s="15">
        <f>(Sheet1!E116/Sheet1!E115-1)*12</f>
        <v>0.90398441132829355</v>
      </c>
      <c r="F115" s="15">
        <f>(Sheet1!F116/Sheet1!F115-1)*12</f>
        <v>0.6586173844825236</v>
      </c>
      <c r="G115" s="15">
        <f>(Sheet1!G116/Sheet1!G115-1)*12</f>
        <v>8.8446739045160427E-2</v>
      </c>
      <c r="H115" s="15">
        <f>(Sheet1!H116/Sheet1!H115-1)*12</f>
        <v>0.52066170279377832</v>
      </c>
      <c r="I115" s="15">
        <f>(Sheet1!I116/Sheet1!I115-1)*12</f>
        <v>-0.19446641084847505</v>
      </c>
      <c r="J115" s="15">
        <f>(Sheet1!J116/Sheet1!J115-1)*12</f>
        <v>0.96376499297226115</v>
      </c>
      <c r="K115" s="16">
        <f>(Sheet1!K116/Sheet1!K115-1)*12</f>
        <v>-5.385094486447306E-2</v>
      </c>
    </row>
    <row r="116" spans="1:11" x14ac:dyDescent="0.2">
      <c r="A116" s="50">
        <v>44044</v>
      </c>
      <c r="B116" s="43">
        <f>(Sheet1!B117/Sheet1!B116-1)*12</f>
        <v>0.85571754981791592</v>
      </c>
      <c r="C116" s="43">
        <f>(Sheet1!C117/Sheet1!C116-1)*12</f>
        <v>1.2450024548786285</v>
      </c>
      <c r="D116" s="43">
        <f>(Sheet1!D117/Sheet1!D116-1)*12</f>
        <v>0.10466906239955165</v>
      </c>
      <c r="E116" s="43">
        <f>(Sheet1!E117/Sheet1!E116-1)*12</f>
        <v>1.3133659294563662</v>
      </c>
      <c r="F116" s="43">
        <f>(Sheet1!F117/Sheet1!F116-1)*12</f>
        <v>0.41479011283081224</v>
      </c>
      <c r="G116" s="43">
        <f>(Sheet1!G117/Sheet1!G116-1)*12</f>
        <v>1.2011122560674892</v>
      </c>
      <c r="H116" s="43">
        <f>(Sheet1!H117/Sheet1!H116-1)*12</f>
        <v>1.9500871697740001</v>
      </c>
      <c r="I116" s="43">
        <f>(Sheet1!I117/Sheet1!I116-1)*12</f>
        <v>2.2852552143533655</v>
      </c>
      <c r="J116" s="43">
        <f>(Sheet1!J117/Sheet1!J116-1)*12</f>
        <v>0.87635450738699738</v>
      </c>
      <c r="K116" s="44">
        <f>(Sheet1!K117/Sheet1!K116-1)*12</f>
        <v>1.7555583898768061</v>
      </c>
    </row>
    <row r="117" spans="1:11" x14ac:dyDescent="0.2">
      <c r="A117" s="87">
        <v>44075</v>
      </c>
      <c r="B117" s="15">
        <f>(Sheet1!B118/Sheet1!B117-1)*12</f>
        <v>-0.69720237308368871</v>
      </c>
      <c r="C117" s="15">
        <f>(Sheet1!C118/Sheet1!C117-1)*12</f>
        <v>0.27238929269456502</v>
      </c>
      <c r="D117" s="15">
        <f>(Sheet1!D118/Sheet1!D117-1)*12</f>
        <v>-0.28840269949647457</v>
      </c>
      <c r="E117" s="15">
        <f>(Sheet1!E118/Sheet1!E117-1)*12</f>
        <v>-0.69343291689486009</v>
      </c>
      <c r="F117" s="15">
        <f>(Sheet1!F118/Sheet1!F117-1)*12</f>
        <v>-0.7692299354273735</v>
      </c>
      <c r="G117" s="15">
        <f>(Sheet1!G118/Sheet1!G117-1)*12</f>
        <v>-0.78170876362579955</v>
      </c>
      <c r="H117" s="15">
        <f>(Sheet1!H118/Sheet1!H117-1)*12</f>
        <v>-0.67070563453372634</v>
      </c>
      <c r="I117" s="15">
        <f>(Sheet1!I118/Sheet1!I117-1)*12</f>
        <v>-1.6199393054316502E-2</v>
      </c>
      <c r="J117" s="15">
        <f>(Sheet1!J118/Sheet1!J117-1)*12</f>
        <v>0.14131974401638558</v>
      </c>
      <c r="K117" s="16">
        <f>(Sheet1!K118/Sheet1!K117-1)*12</f>
        <v>1.4937637448067385</v>
      </c>
    </row>
    <row r="118" spans="1:11" x14ac:dyDescent="0.2">
      <c r="A118" s="50">
        <v>44105</v>
      </c>
      <c r="B118" s="43">
        <f>(Sheet1!B119/Sheet1!B118-1)*12</f>
        <v>-0.48214589459845181</v>
      </c>
      <c r="C118" s="43">
        <f>(Sheet1!C119/Sheet1!C118-1)*12</f>
        <v>0.14525029827940017</v>
      </c>
      <c r="D118" s="43">
        <f>(Sheet1!D119/Sheet1!D118-1)*12</f>
        <v>1.080391504885994</v>
      </c>
      <c r="E118" s="43">
        <f>(Sheet1!E119/Sheet1!E118-1)*12</f>
        <v>-0.3653905984374286</v>
      </c>
      <c r="F118" s="43">
        <f>(Sheet1!F119/Sheet1!F118-1)*12</f>
        <v>-0.11203253677254654</v>
      </c>
      <c r="G118" s="43">
        <f>(Sheet1!G119/Sheet1!G118-1)*12</f>
        <v>-0.44843700693230648</v>
      </c>
      <c r="H118" s="43">
        <f>(Sheet1!H119/Sheet1!H118-1)*12</f>
        <v>-1.7575771882388902</v>
      </c>
      <c r="I118" s="43">
        <f>(Sheet1!I119/Sheet1!I118-1)*12</f>
        <v>2.0033791145657291</v>
      </c>
      <c r="J118" s="43">
        <f>(Sheet1!J119/Sheet1!J118-1)*12</f>
        <v>-9.9493932636788518E-2</v>
      </c>
      <c r="K118" s="44">
        <f>(Sheet1!K119/Sheet1!K118-1)*12</f>
        <v>-0.52190537845462082</v>
      </c>
    </row>
    <row r="119" spans="1:11" x14ac:dyDescent="0.2">
      <c r="A119" s="87">
        <v>44136</v>
      </c>
      <c r="B119" s="15">
        <f>(Sheet1!B120/Sheet1!B119-1)*12</f>
        <v>1.8342383072976398</v>
      </c>
      <c r="C119" s="15">
        <f>(Sheet1!C120/Sheet1!C119-1)*12</f>
        <v>1.5262180364124847</v>
      </c>
      <c r="D119" s="15">
        <f>(Sheet1!D120/Sheet1!D119-1)*12</f>
        <v>1.3813047869325947</v>
      </c>
      <c r="E119" s="15">
        <f>(Sheet1!E120/Sheet1!E119-1)*12</f>
        <v>1.3470922189206327</v>
      </c>
      <c r="F119" s="15">
        <f>(Sheet1!F120/Sheet1!F119-1)*12</f>
        <v>2.2582266158076063</v>
      </c>
      <c r="G119" s="15">
        <f>(Sheet1!G120/Sheet1!G119-1)*12</f>
        <v>0.6875090432032831</v>
      </c>
      <c r="H119" s="15">
        <f>(Sheet1!H120/Sheet1!H119-1)*12</f>
        <v>2.0064507842373009</v>
      </c>
      <c r="I119" s="15">
        <f>(Sheet1!I120/Sheet1!I119-1)*12</f>
        <v>3.2354478782348082</v>
      </c>
      <c r="J119" s="15">
        <f>(Sheet1!J120/Sheet1!J119-1)*12</f>
        <v>1.2142710015520386</v>
      </c>
      <c r="K119" s="16">
        <f>(Sheet1!K120/Sheet1!K119-1)*12</f>
        <v>1.4610262417287903</v>
      </c>
    </row>
    <row r="120" spans="1:11" ht="17" thickBot="1" x14ac:dyDescent="0.25">
      <c r="A120" s="51">
        <v>44166</v>
      </c>
      <c r="B120" s="45">
        <f>(Sheet1!B121/Sheet1!B120-1)*12</f>
        <v>0.58388591676533519</v>
      </c>
      <c r="C120" s="45">
        <f>(Sheet1!C121/Sheet1!C120-1)*12</f>
        <v>1.1586797661038517</v>
      </c>
      <c r="D120" s="45">
        <f>(Sheet1!D121/Sheet1!D120-1)*12</f>
        <v>1.0046088862192191</v>
      </c>
      <c r="E120" s="45">
        <f>(Sheet1!E121/Sheet1!E120-1)*12</f>
        <v>0.56551579405309838</v>
      </c>
      <c r="F120" s="45">
        <f>(Sheet1!F121/Sheet1!F120-1)*12</f>
        <v>0.91619340646081504</v>
      </c>
      <c r="G120" s="45">
        <f>(Sheet1!G121/Sheet1!G120-1)*12</f>
        <v>0.50071283078656936</v>
      </c>
      <c r="H120" s="45">
        <f>(Sheet1!H121/Sheet1!H120-1)*12</f>
        <v>0.72853709260459354</v>
      </c>
      <c r="I120" s="45">
        <f>(Sheet1!I121/Sheet1!I120-1)*12</f>
        <v>-0.60219005474452514</v>
      </c>
      <c r="J120" s="45">
        <f>(Sheet1!J121/Sheet1!J120-1)*12</f>
        <v>-0.67857836762369494</v>
      </c>
      <c r="K120" s="46">
        <f>(Sheet1!K121/Sheet1!K120-1)*12</f>
        <v>0.60311875096827094</v>
      </c>
    </row>
    <row r="121" spans="1:11" ht="17" thickBot="1" x14ac:dyDescent="0.25"/>
    <row r="122" spans="1:11" ht="20" thickBot="1" x14ac:dyDescent="0.25">
      <c r="A122" s="89" t="s">
        <v>39</v>
      </c>
      <c r="B122" s="90" t="s">
        <v>3</v>
      </c>
      <c r="C122" s="91" t="s">
        <v>6</v>
      </c>
      <c r="D122" s="91" t="s">
        <v>10</v>
      </c>
      <c r="E122" s="91" t="s">
        <v>13</v>
      </c>
      <c r="F122" s="91" t="s">
        <v>16</v>
      </c>
      <c r="G122" s="91" t="s">
        <v>19</v>
      </c>
      <c r="H122" s="91" t="s">
        <v>22</v>
      </c>
      <c r="I122" s="91" t="s">
        <v>25</v>
      </c>
      <c r="J122" s="91" t="s">
        <v>28</v>
      </c>
      <c r="K122" s="92" t="s">
        <v>31</v>
      </c>
    </row>
    <row r="123" spans="1:11" ht="20" thickBot="1" x14ac:dyDescent="0.3">
      <c r="A123" s="120" t="s">
        <v>37</v>
      </c>
      <c r="B123" s="148">
        <f>AVERAGE(B2:B120)</f>
        <v>0.20446343472257486</v>
      </c>
      <c r="C123" s="149">
        <f>AVERAGE(C2:C120)</f>
        <v>0.23334839587811365</v>
      </c>
      <c r="D123" s="149">
        <f>AVERAGE(D2:D120)</f>
        <v>0.16684767731577851</v>
      </c>
      <c r="E123" s="149">
        <f>AVERAGE(E2:E120)</f>
        <v>0.19746111940972205</v>
      </c>
      <c r="F123" s="149">
        <f>AVERAGE(F2:F120)</f>
        <v>0.14628966308227639</v>
      </c>
      <c r="G123" s="149">
        <f>AVERAGE(G2:G120)</f>
        <v>0.25494149227352808</v>
      </c>
      <c r="H123" s="149">
        <f>AVERAGE(H2:H120)</f>
        <v>0.30376973711798344</v>
      </c>
      <c r="I123" s="149">
        <f>AVERAGE(I2:I120)</f>
        <v>8.8469502062282657E-2</v>
      </c>
      <c r="J123" s="149">
        <f>AVERAGE(J2:J120)</f>
        <v>0.13452254783875922</v>
      </c>
      <c r="K123" s="150">
        <f>AVERAGE(K2:K120)</f>
        <v>0.23167798008196944</v>
      </c>
    </row>
    <row r="124" spans="1:11" ht="20" thickBot="1" x14ac:dyDescent="0.3">
      <c r="A124" s="147" t="s">
        <v>38</v>
      </c>
      <c r="B124" s="145">
        <f>_xlfn.STDEV.S(B2:B120)</f>
        <v>0.68201674476823382</v>
      </c>
      <c r="C124" s="145">
        <f>_xlfn.STDEV.S(C2:C120)</f>
        <v>0.72706759541598098</v>
      </c>
      <c r="D124" s="145">
        <f>_xlfn.STDEV.S(D2:D120)</f>
        <v>1.1893405588011026</v>
      </c>
      <c r="E124" s="145">
        <f>_xlfn.STDEV.S(E2:E120)</f>
        <v>0.5487850777994232</v>
      </c>
      <c r="F124" s="145">
        <f>_xlfn.STDEV.S(F2:F120)</f>
        <v>1.132448355308022</v>
      </c>
      <c r="G124" s="145">
        <f>_xlfn.STDEV.S(G2:G120)</f>
        <v>0.69730919619162302</v>
      </c>
      <c r="H124" s="145">
        <f>_xlfn.STDEV.S(H2:H120)</f>
        <v>0.72283469549921575</v>
      </c>
      <c r="I124" s="145">
        <f>_xlfn.STDEV.S(I2:I120)</f>
        <v>1.0915588281575859</v>
      </c>
      <c r="J124" s="145">
        <f>_xlfn.STDEV.S(J2:J120)</f>
        <v>0.59726327429289505</v>
      </c>
      <c r="K124" s="146">
        <f>_xlfn.STDEV.S(K2:K120)</f>
        <v>0.75603373208239133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CAFE6-ED70-874D-B3A8-56304FFA7669}">
  <dimension ref="A1:K11"/>
  <sheetViews>
    <sheetView showGridLines="0" workbookViewId="0">
      <selection activeCell="E28" sqref="E28"/>
    </sheetView>
  </sheetViews>
  <sheetFormatPr baseColWidth="10" defaultRowHeight="16" x14ac:dyDescent="0.2"/>
  <sheetData>
    <row r="1" spans="1:11" ht="22" thickBot="1" x14ac:dyDescent="0.25">
      <c r="A1" s="100"/>
      <c r="B1" s="106" t="s">
        <v>3</v>
      </c>
      <c r="C1" s="106" t="s">
        <v>6</v>
      </c>
      <c r="D1" s="106" t="s">
        <v>10</v>
      </c>
      <c r="E1" s="106" t="s">
        <v>13</v>
      </c>
      <c r="F1" s="106" t="s">
        <v>16</v>
      </c>
      <c r="G1" s="106" t="s">
        <v>19</v>
      </c>
      <c r="H1" s="106" t="s">
        <v>22</v>
      </c>
      <c r="I1" s="106" t="s">
        <v>25</v>
      </c>
      <c r="J1" s="106" t="s">
        <v>28</v>
      </c>
      <c r="K1" s="107" t="s">
        <v>31</v>
      </c>
    </row>
    <row r="2" spans="1:11" ht="22" thickBot="1" x14ac:dyDescent="0.3">
      <c r="A2" s="108" t="s">
        <v>3</v>
      </c>
      <c r="B2" s="101">
        <v>1</v>
      </c>
      <c r="C2" s="102"/>
      <c r="D2" s="102"/>
      <c r="E2" s="102"/>
      <c r="F2" s="102"/>
      <c r="G2" s="102"/>
      <c r="H2" s="102"/>
      <c r="I2" s="102"/>
      <c r="J2" s="102"/>
      <c r="K2" s="103"/>
    </row>
    <row r="3" spans="1:11" ht="22" thickBot="1" x14ac:dyDescent="0.3">
      <c r="A3" s="109" t="s">
        <v>6</v>
      </c>
      <c r="B3" s="104">
        <v>0.44584696114245531</v>
      </c>
      <c r="C3" s="101">
        <v>1</v>
      </c>
      <c r="D3" s="102"/>
      <c r="E3" s="102"/>
      <c r="F3" s="102"/>
      <c r="G3" s="102"/>
      <c r="H3" s="102"/>
      <c r="I3" s="102"/>
      <c r="J3" s="102"/>
      <c r="K3" s="103"/>
    </row>
    <row r="4" spans="1:11" ht="22" thickBot="1" x14ac:dyDescent="0.3">
      <c r="A4" s="109" t="s">
        <v>10</v>
      </c>
      <c r="B4" s="104">
        <v>0.35497629399925862</v>
      </c>
      <c r="C4" s="104">
        <v>0.22688064095434041</v>
      </c>
      <c r="D4" s="101">
        <v>1</v>
      </c>
      <c r="E4" s="102"/>
      <c r="F4" s="102"/>
      <c r="G4" s="102"/>
      <c r="H4" s="102"/>
      <c r="I4" s="102"/>
      <c r="J4" s="102"/>
      <c r="K4" s="103"/>
    </row>
    <row r="5" spans="1:11" ht="22" thickBot="1" x14ac:dyDescent="0.3">
      <c r="A5" s="109" t="s">
        <v>13</v>
      </c>
      <c r="B5" s="104">
        <v>0.72679126305977282</v>
      </c>
      <c r="C5" s="104">
        <v>0.45133912408488125</v>
      </c>
      <c r="D5" s="104">
        <v>0.49693986258979944</v>
      </c>
      <c r="E5" s="101">
        <v>1</v>
      </c>
      <c r="F5" s="102"/>
      <c r="G5" s="102"/>
      <c r="H5" s="102"/>
      <c r="I5" s="102"/>
      <c r="J5" s="102"/>
      <c r="K5" s="103"/>
    </row>
    <row r="6" spans="1:11" ht="22" thickBot="1" x14ac:dyDescent="0.3">
      <c r="A6" s="109" t="s">
        <v>16</v>
      </c>
      <c r="B6" s="104">
        <v>0.50420117918045604</v>
      </c>
      <c r="C6" s="104">
        <v>0.37205144937814844</v>
      </c>
      <c r="D6" s="104">
        <v>0.39850435248415911</v>
      </c>
      <c r="E6" s="104">
        <v>0.59929139041462265</v>
      </c>
      <c r="F6" s="101">
        <v>1</v>
      </c>
      <c r="G6" s="102"/>
      <c r="H6" s="102"/>
      <c r="I6" s="102"/>
      <c r="J6" s="102"/>
      <c r="K6" s="103"/>
    </row>
    <row r="7" spans="1:11" ht="22" thickBot="1" x14ac:dyDescent="0.3">
      <c r="A7" s="109" t="s">
        <v>19</v>
      </c>
      <c r="B7" s="104">
        <v>0.4836920621858139</v>
      </c>
      <c r="C7" s="104">
        <v>0.27311143185429521</v>
      </c>
      <c r="D7" s="104">
        <v>0.46020395386549534</v>
      </c>
      <c r="E7" s="104">
        <v>0.68808744786688147</v>
      </c>
      <c r="F7" s="104">
        <v>0.45157910546430352</v>
      </c>
      <c r="G7" s="101">
        <v>1</v>
      </c>
      <c r="H7" s="102"/>
      <c r="I7" s="102"/>
      <c r="J7" s="102"/>
      <c r="K7" s="103"/>
    </row>
    <row r="8" spans="1:11" ht="22" thickBot="1" x14ac:dyDescent="0.3">
      <c r="A8" s="109" t="s">
        <v>22</v>
      </c>
      <c r="B8" s="104">
        <v>0.5951849424140726</v>
      </c>
      <c r="C8" s="104">
        <v>0.35240490619090636</v>
      </c>
      <c r="D8" s="104">
        <v>0.30925231078131593</v>
      </c>
      <c r="E8" s="104">
        <v>0.69191949535152431</v>
      </c>
      <c r="F8" s="104">
        <v>0.32868711103184145</v>
      </c>
      <c r="G8" s="104">
        <v>0.43724798009770804</v>
      </c>
      <c r="H8" s="101">
        <v>1</v>
      </c>
      <c r="I8" s="102"/>
      <c r="J8" s="102"/>
      <c r="K8" s="103"/>
    </row>
    <row r="9" spans="1:11" ht="22" thickBot="1" x14ac:dyDescent="0.3">
      <c r="A9" s="109" t="s">
        <v>25</v>
      </c>
      <c r="B9" s="104">
        <v>0.49653918492549964</v>
      </c>
      <c r="C9" s="104">
        <v>0.3850114805285525</v>
      </c>
      <c r="D9" s="104">
        <v>0.33505109279035933</v>
      </c>
      <c r="E9" s="104">
        <v>0.60156415913082828</v>
      </c>
      <c r="F9" s="104">
        <v>0.63664706458729314</v>
      </c>
      <c r="G9" s="104">
        <v>0.36381554430771157</v>
      </c>
      <c r="H9" s="104">
        <v>0.40701879991924061</v>
      </c>
      <c r="I9" s="101">
        <v>1</v>
      </c>
      <c r="J9" s="102"/>
      <c r="K9" s="103"/>
    </row>
    <row r="10" spans="1:11" ht="22" thickBot="1" x14ac:dyDescent="0.3">
      <c r="A10" s="109" t="s">
        <v>28</v>
      </c>
      <c r="B10" s="104">
        <v>0.26742796418359843</v>
      </c>
      <c r="C10" s="104">
        <v>8.3534075848935602E-2</v>
      </c>
      <c r="D10" s="104">
        <v>0.11594055457449037</v>
      </c>
      <c r="E10" s="104">
        <v>0.22891785998404612</v>
      </c>
      <c r="F10" s="104">
        <v>7.7062286215667616E-2</v>
      </c>
      <c r="G10" s="104">
        <v>0.12737156198177468</v>
      </c>
      <c r="H10" s="104">
        <v>9.9312856021078588E-2</v>
      </c>
      <c r="I10" s="104">
        <v>0.16546963492718625</v>
      </c>
      <c r="J10" s="101">
        <v>1</v>
      </c>
      <c r="K10" s="103"/>
    </row>
    <row r="11" spans="1:11" ht="22" thickBot="1" x14ac:dyDescent="0.3">
      <c r="A11" s="110" t="s">
        <v>31</v>
      </c>
      <c r="B11" s="105">
        <v>0.36641902565202605</v>
      </c>
      <c r="C11" s="105">
        <v>0.25338768459191818</v>
      </c>
      <c r="D11" s="105">
        <v>0.20297805343466419</v>
      </c>
      <c r="E11" s="105">
        <v>0.44011744883386145</v>
      </c>
      <c r="F11" s="105">
        <v>0.28276451066936764</v>
      </c>
      <c r="G11" s="105">
        <v>0.2543635638642231</v>
      </c>
      <c r="H11" s="105">
        <v>0.35825840745786658</v>
      </c>
      <c r="I11" s="105">
        <v>0.42608712938166204</v>
      </c>
      <c r="J11" s="105">
        <v>0.1717323368212855</v>
      </c>
      <c r="K11" s="101">
        <v>1</v>
      </c>
    </row>
  </sheetData>
  <conditionalFormatting sqref="B2:K11">
    <cfRule type="colorScale" priority="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BD8B7-529F-A742-9F36-278C270C6B6B}">
  <dimension ref="A1:I66"/>
  <sheetViews>
    <sheetView showGridLines="0" topLeftCell="A4" zoomScale="80" zoomScaleNormal="80" workbookViewId="0">
      <selection activeCell="B18" sqref="B18"/>
    </sheetView>
  </sheetViews>
  <sheetFormatPr baseColWidth="10" defaultRowHeight="16" x14ac:dyDescent="0.2"/>
  <cols>
    <col min="1" max="2" width="15.83203125" bestFit="1" customWidth="1"/>
    <col min="3" max="3" width="14.83203125" bestFit="1" customWidth="1"/>
    <col min="4" max="5" width="13.1640625" bestFit="1" customWidth="1"/>
    <col min="8" max="8" width="11.6640625" bestFit="1" customWidth="1"/>
    <col min="9" max="9" width="12.1640625" customWidth="1"/>
    <col min="10" max="10" width="10.5" customWidth="1"/>
  </cols>
  <sheetData>
    <row r="1" spans="1:8" ht="20" thickBot="1" x14ac:dyDescent="0.3">
      <c r="A1" s="13" t="s">
        <v>47</v>
      </c>
    </row>
    <row r="2" spans="1:8" ht="17" thickBot="1" x14ac:dyDescent="0.25">
      <c r="A2" s="49" t="s">
        <v>41</v>
      </c>
      <c r="B2" s="40" t="s">
        <v>3</v>
      </c>
      <c r="C2" s="41" t="s">
        <v>6</v>
      </c>
      <c r="D2" s="41" t="s">
        <v>10</v>
      </c>
      <c r="E2" s="41" t="s">
        <v>13</v>
      </c>
      <c r="F2" s="42" t="s">
        <v>16</v>
      </c>
    </row>
    <row r="3" spans="1:8" ht="17" thickBot="1" x14ac:dyDescent="0.25">
      <c r="A3" s="122" t="s">
        <v>37</v>
      </c>
      <c r="B3" s="125">
        <v>0.20446343472257486</v>
      </c>
      <c r="C3" s="126">
        <v>0.23334839587811365</v>
      </c>
      <c r="D3" s="126">
        <v>0.16684767731577851</v>
      </c>
      <c r="E3" s="126">
        <v>0.19746111940972205</v>
      </c>
      <c r="F3" s="127">
        <v>0.14628966308227639</v>
      </c>
      <c r="G3" s="12"/>
      <c r="H3" s="12"/>
    </row>
    <row r="4" spans="1:8" ht="17" thickBot="1" x14ac:dyDescent="0.25">
      <c r="A4" s="122" t="s">
        <v>38</v>
      </c>
      <c r="B4" s="128">
        <v>0.68201674476823382</v>
      </c>
      <c r="C4" s="128">
        <v>0.72706759541598098</v>
      </c>
      <c r="D4" s="128">
        <v>1.1893405588011026</v>
      </c>
      <c r="E4" s="128">
        <v>0.5487850777994232</v>
      </c>
      <c r="F4" s="129">
        <v>1.132448355308022</v>
      </c>
    </row>
    <row r="5" spans="1:8" ht="17" thickBot="1" x14ac:dyDescent="0.25"/>
    <row r="6" spans="1:8" ht="17" thickBot="1" x14ac:dyDescent="0.25">
      <c r="A6" s="119" t="s">
        <v>40</v>
      </c>
      <c r="B6" s="41" t="s">
        <v>3</v>
      </c>
      <c r="C6" s="41" t="s">
        <v>6</v>
      </c>
      <c r="D6" s="41" t="s">
        <v>10</v>
      </c>
      <c r="E6" s="41" t="s">
        <v>13</v>
      </c>
      <c r="F6" s="42" t="s">
        <v>16</v>
      </c>
    </row>
    <row r="7" spans="1:8" x14ac:dyDescent="0.2">
      <c r="A7" s="77" t="s">
        <v>3</v>
      </c>
      <c r="B7" s="98"/>
      <c r="C7" s="98"/>
      <c r="D7" s="98"/>
      <c r="E7" s="98"/>
      <c r="F7" s="99"/>
    </row>
    <row r="8" spans="1:8" x14ac:dyDescent="0.2">
      <c r="A8" s="96" t="s">
        <v>6</v>
      </c>
      <c r="B8" s="142">
        <v>0.44584696114245531</v>
      </c>
      <c r="C8" s="130"/>
      <c r="D8" s="130"/>
      <c r="E8" s="130"/>
      <c r="F8" s="131"/>
    </row>
    <row r="9" spans="1:8" x14ac:dyDescent="0.2">
      <c r="A9" s="96" t="s">
        <v>10</v>
      </c>
      <c r="B9" s="134">
        <v>0.35497629399925862</v>
      </c>
      <c r="C9" s="143">
        <v>0.22688064095434041</v>
      </c>
      <c r="D9" s="130"/>
      <c r="E9" s="130"/>
      <c r="F9" s="131"/>
    </row>
    <row r="10" spans="1:8" x14ac:dyDescent="0.2">
      <c r="A10" s="96" t="s">
        <v>13</v>
      </c>
      <c r="B10" s="134">
        <v>0.72679126305977282</v>
      </c>
      <c r="C10" s="134">
        <v>0.45133912408488125</v>
      </c>
      <c r="D10" s="143">
        <v>0.49693986258979944</v>
      </c>
      <c r="E10" s="130"/>
      <c r="F10" s="131"/>
    </row>
    <row r="11" spans="1:8" ht="17" thickBot="1" x14ac:dyDescent="0.25">
      <c r="A11" s="97" t="s">
        <v>16</v>
      </c>
      <c r="B11" s="135">
        <v>0.50420117918045604</v>
      </c>
      <c r="C11" s="135">
        <v>0.37205144937814844</v>
      </c>
      <c r="D11" s="135">
        <v>0.39850435248415911</v>
      </c>
      <c r="E11" s="144">
        <v>0.59929139041462265</v>
      </c>
      <c r="F11" s="132"/>
    </row>
    <row r="13" spans="1:8" ht="20" thickBot="1" x14ac:dyDescent="0.3">
      <c r="A13" s="13" t="s">
        <v>43</v>
      </c>
    </row>
    <row r="14" spans="1:8" ht="17" thickBot="1" x14ac:dyDescent="0.25">
      <c r="A14" s="49" t="s">
        <v>41</v>
      </c>
      <c r="B14" s="40" t="s">
        <v>3</v>
      </c>
      <c r="C14" s="41" t="s">
        <v>6</v>
      </c>
      <c r="D14" s="41" t="s">
        <v>10</v>
      </c>
      <c r="E14" s="41" t="s">
        <v>13</v>
      </c>
      <c r="F14" s="42" t="s">
        <v>16</v>
      </c>
    </row>
    <row r="15" spans="1:8" ht="17" thickBot="1" x14ac:dyDescent="0.25">
      <c r="A15" s="152" t="s">
        <v>42</v>
      </c>
      <c r="B15" s="153">
        <v>0.16773993705214266</v>
      </c>
      <c r="C15" s="153">
        <v>0.68668255254714949</v>
      </c>
      <c r="D15" s="153">
        <v>-0.13932319714848634</v>
      </c>
      <c r="E15" s="153">
        <v>0.72373878513604295</v>
      </c>
      <c r="F15" s="154">
        <v>-0.43883807757679705</v>
      </c>
      <c r="G15" s="11"/>
    </row>
    <row r="17" spans="1:9" ht="20" thickBot="1" x14ac:dyDescent="0.3">
      <c r="A17" s="13" t="s">
        <v>44</v>
      </c>
    </row>
    <row r="18" spans="1:9" ht="17" thickBot="1" x14ac:dyDescent="0.25">
      <c r="A18" s="136" t="s">
        <v>45</v>
      </c>
      <c r="B18" s="137">
        <f>SQRT(B15^2*B4^2+C15^2*C4^2+D15^2*D4+E15^2*E4^2+F15^2*F4^2+2*B8*B15*C15*B4*C4+2*B9*B15*D15*B4*D4+2*B10*B15*E15*B4*E4+2*B11*B15*F15*B4*F4+2*C9*C15*D15*C4*D4+2*C10*C15*E15*C4*E4+2*C11*C15*F15*C4*F4+2*D10*D15*E15*D4*E4+2*D11*D15*F15*D4*F4+2*E11*E15*F15*E4*F4)</f>
        <v>0.67588937048379116</v>
      </c>
    </row>
    <row r="20" spans="1:9" ht="20" thickBot="1" x14ac:dyDescent="0.3">
      <c r="A20" s="13" t="s">
        <v>46</v>
      </c>
    </row>
    <row r="21" spans="1:9" ht="17" thickBot="1" x14ac:dyDescent="0.25">
      <c r="A21" s="151"/>
      <c r="B21" s="40" t="s">
        <v>58</v>
      </c>
      <c r="C21" s="49" t="s">
        <v>50</v>
      </c>
    </row>
    <row r="22" spans="1:9" ht="17" thickBot="1" x14ac:dyDescent="0.25">
      <c r="A22" s="40" t="s">
        <v>48</v>
      </c>
      <c r="B22" s="138">
        <f>SUMPRODUCT(B3:F3,B15:F15)</f>
        <v>0.25000000010057394</v>
      </c>
      <c r="C22" s="141">
        <f>H52</f>
        <v>0.25000000000000022</v>
      </c>
    </row>
    <row r="23" spans="1:9" ht="17" thickBot="1" x14ac:dyDescent="0.25">
      <c r="A23" s="40" t="s">
        <v>49</v>
      </c>
      <c r="B23" s="139">
        <f>SUM(B15:F15)</f>
        <v>1.0000000000100515</v>
      </c>
      <c r="C23" s="84">
        <v>1</v>
      </c>
    </row>
    <row r="24" spans="1:9" ht="17" thickBot="1" x14ac:dyDescent="0.25">
      <c r="F24" t="s">
        <v>59</v>
      </c>
    </row>
    <row r="25" spans="1:9" x14ac:dyDescent="0.2">
      <c r="B25" s="66" t="s">
        <v>3</v>
      </c>
      <c r="C25" s="67" t="s">
        <v>6</v>
      </c>
      <c r="D25" s="67" t="s">
        <v>10</v>
      </c>
      <c r="E25" s="67" t="s">
        <v>13</v>
      </c>
      <c r="F25" s="68" t="s">
        <v>16</v>
      </c>
      <c r="G25" s="113"/>
      <c r="H25" s="35"/>
      <c r="I25" s="2">
        <f>(0.25-0.12)/25</f>
        <v>5.1999999999999998E-3</v>
      </c>
    </row>
    <row r="26" spans="1:9" ht="52" thickBot="1" x14ac:dyDescent="0.25">
      <c r="B26" s="111" t="s">
        <v>51</v>
      </c>
      <c r="C26" s="95" t="s">
        <v>52</v>
      </c>
      <c r="D26" s="95" t="s">
        <v>53</v>
      </c>
      <c r="E26" s="95" t="s">
        <v>54</v>
      </c>
      <c r="F26" s="112" t="s">
        <v>55</v>
      </c>
      <c r="G26" s="111" t="s">
        <v>38</v>
      </c>
      <c r="H26" s="114" t="s">
        <v>56</v>
      </c>
    </row>
    <row r="27" spans="1:9" x14ac:dyDescent="0.2">
      <c r="B27" s="218">
        <v>-0.17164053198305171</v>
      </c>
      <c r="C27" s="130">
        <v>-0.80818789448598405</v>
      </c>
      <c r="D27" s="130">
        <v>0.32290291123830195</v>
      </c>
      <c r="E27" s="130">
        <v>0.92662764578576096</v>
      </c>
      <c r="F27" s="130">
        <v>0.73029786944497266</v>
      </c>
      <c r="G27" s="211">
        <v>1.2199975510772945</v>
      </c>
      <c r="H27" s="212">
        <v>0.12</v>
      </c>
    </row>
    <row r="28" spans="1:9" x14ac:dyDescent="0.2">
      <c r="B28" s="219">
        <v>-0.15806505765937298</v>
      </c>
      <c r="C28" s="220">
        <v>-0.74839291687181497</v>
      </c>
      <c r="D28" s="220">
        <v>0.30441389891114495</v>
      </c>
      <c r="E28" s="220">
        <v>0.91851150122042191</v>
      </c>
      <c r="F28" s="220">
        <v>0.68353257456301975</v>
      </c>
      <c r="G28" s="213">
        <v>1.163895324860325</v>
      </c>
      <c r="H28" s="214">
        <f>H27+$I$25</f>
        <v>0.12520000000000001</v>
      </c>
    </row>
    <row r="29" spans="1:9" x14ac:dyDescent="0.2">
      <c r="B29" s="218">
        <v>-0.14449047362057249</v>
      </c>
      <c r="C29" s="130">
        <v>-0.68859789024123608</v>
      </c>
      <c r="D29" s="130">
        <v>0.2859246299124108</v>
      </c>
      <c r="E29" s="130">
        <v>0.9103964077806519</v>
      </c>
      <c r="F29" s="130">
        <v>0.63676732575245043</v>
      </c>
      <c r="G29" s="215">
        <v>1.1084300551894621</v>
      </c>
      <c r="H29" s="216">
        <f>H28+$I$25</f>
        <v>0.13040000000000002</v>
      </c>
    </row>
    <row r="30" spans="1:9" x14ac:dyDescent="0.2">
      <c r="B30" s="219">
        <v>-0.14286363225869275</v>
      </c>
      <c r="C30" s="220">
        <v>-0.62678743675358961</v>
      </c>
      <c r="D30" s="220">
        <v>0.26682451639957766</v>
      </c>
      <c r="E30" s="220">
        <v>0.91268051030926367</v>
      </c>
      <c r="F30" s="220">
        <v>0.59014604304990359</v>
      </c>
      <c r="G30" s="213">
        <v>1.0537167548544784</v>
      </c>
      <c r="H30" s="214">
        <f>H29+$I$25</f>
        <v>0.13560000000000003</v>
      </c>
    </row>
    <row r="31" spans="1:9" x14ac:dyDescent="0.2">
      <c r="B31" s="218">
        <v>-0.11733912209091979</v>
      </c>
      <c r="C31" s="130">
        <v>-0.56900725267821928</v>
      </c>
      <c r="D31" s="130">
        <v>0.24894624035687213</v>
      </c>
      <c r="E31" s="130">
        <v>0.89416531138935862</v>
      </c>
      <c r="F31" s="130">
        <v>0.54323482658736433</v>
      </c>
      <c r="G31" s="215">
        <v>0.99983194244662343</v>
      </c>
      <c r="H31" s="216">
        <f>H30+$I$25</f>
        <v>0.14080000000000004</v>
      </c>
    </row>
    <row r="32" spans="1:9" x14ac:dyDescent="0.2">
      <c r="B32" s="219">
        <v>-0.10376497146963724</v>
      </c>
      <c r="C32" s="220">
        <v>-0.5092121156721392</v>
      </c>
      <c r="D32" s="220">
        <v>0.23045692725572872</v>
      </c>
      <c r="E32" s="220">
        <v>0.88605064392504107</v>
      </c>
      <c r="F32" s="220">
        <v>0.49646951691866054</v>
      </c>
      <c r="G32" s="213">
        <v>0.94696812152481213</v>
      </c>
      <c r="H32" s="214">
        <f>H31+$I$25</f>
        <v>0.14600000000000005</v>
      </c>
    </row>
    <row r="33" spans="2:8" x14ac:dyDescent="0.2">
      <c r="B33" s="218">
        <v>-9.0188852064444366E-2</v>
      </c>
      <c r="C33" s="130">
        <v>-0.44941705039424518</v>
      </c>
      <c r="D33" s="130">
        <v>0.21196824725787092</v>
      </c>
      <c r="E33" s="130">
        <v>0.87793360718395308</v>
      </c>
      <c r="F33" s="130">
        <v>0.44970404774422418</v>
      </c>
      <c r="G33" s="215">
        <v>0.89528762738647083</v>
      </c>
      <c r="H33" s="216">
        <f>H32+$I$25</f>
        <v>0.15120000000000006</v>
      </c>
    </row>
    <row r="34" spans="2:8" x14ac:dyDescent="0.2">
      <c r="B34" s="219">
        <v>-8.8902186508434622E-2</v>
      </c>
      <c r="C34" s="220">
        <v>-0.3875085723561994</v>
      </c>
      <c r="D34" s="220">
        <v>0.19287462642951272</v>
      </c>
      <c r="E34" s="220">
        <v>0.88043220724250759</v>
      </c>
      <c r="F34" s="220">
        <v>0.40310392491680913</v>
      </c>
      <c r="G34" s="213">
        <v>0.84502802981830583</v>
      </c>
      <c r="H34" s="214">
        <f>H33+$I$25</f>
        <v>0.15640000000000007</v>
      </c>
    </row>
    <row r="35" spans="2:8" x14ac:dyDescent="0.2">
      <c r="B35" s="218">
        <v>-6.3038965320515242E-2</v>
      </c>
      <c r="C35" s="130">
        <v>-0.32982898162867874</v>
      </c>
      <c r="D35" s="130">
        <v>0.17499067483474495</v>
      </c>
      <c r="E35" s="130">
        <v>0.86170273309124212</v>
      </c>
      <c r="F35" s="130">
        <v>0.35617453771392488</v>
      </c>
      <c r="G35" s="215">
        <v>0.79639478851121281</v>
      </c>
      <c r="H35" s="216">
        <f>H34+$I$25</f>
        <v>0.16160000000000008</v>
      </c>
    </row>
    <row r="36" spans="2:8" x14ac:dyDescent="0.2">
      <c r="B36" s="219">
        <v>-4.9462944949934515E-2</v>
      </c>
      <c r="C36" s="220">
        <v>-0.27003456411982441</v>
      </c>
      <c r="D36" s="220">
        <v>0.15650148434922445</v>
      </c>
      <c r="E36" s="220">
        <v>0.85358701884442267</v>
      </c>
      <c r="F36" s="220">
        <v>0.30940900623798551</v>
      </c>
      <c r="G36" s="213">
        <v>0.74977037280710135</v>
      </c>
      <c r="H36" s="214">
        <f>H35+$I$25</f>
        <v>0.16680000000000009</v>
      </c>
    </row>
    <row r="37" spans="2:8" x14ac:dyDescent="0.2">
      <c r="B37" s="218">
        <v>-3.5888816861910505E-2</v>
      </c>
      <c r="C37" s="130">
        <v>-0.21023976783035028</v>
      </c>
      <c r="D37" s="130">
        <v>0.1380123670229142</v>
      </c>
      <c r="E37" s="130">
        <v>0.84547274278591922</v>
      </c>
      <c r="F37" s="130">
        <v>0.26264347799216986</v>
      </c>
      <c r="G37" s="215">
        <v>0.70553042128553589</v>
      </c>
      <c r="H37" s="216">
        <f>H36+$I$25</f>
        <v>0.1720000000000001</v>
      </c>
    </row>
    <row r="38" spans="2:8" x14ac:dyDescent="0.2">
      <c r="B38" s="219">
        <v>-2.2313463418789078E-2</v>
      </c>
      <c r="C38" s="220">
        <v>-0.15044466873468673</v>
      </c>
      <c r="D38" s="220">
        <v>0.11952339256093626</v>
      </c>
      <c r="E38" s="220">
        <v>0.83735655201980719</v>
      </c>
      <c r="F38" s="220">
        <v>0.21587818736613065</v>
      </c>
      <c r="G38" s="213">
        <v>0.66415155259185688</v>
      </c>
      <c r="H38" s="214">
        <f>H37+$I$25</f>
        <v>0.17720000000000011</v>
      </c>
    </row>
    <row r="39" spans="2:8" x14ac:dyDescent="0.2">
      <c r="B39" s="218">
        <v>-2.1843269509439545E-2</v>
      </c>
      <c r="C39" s="130">
        <v>-8.7930035390425543E-2</v>
      </c>
      <c r="D39" s="130">
        <v>0.10069095780648127</v>
      </c>
      <c r="E39" s="130">
        <v>0.83965346964190413</v>
      </c>
      <c r="F39" s="130">
        <v>0.16942887608162072</v>
      </c>
      <c r="G39" s="215">
        <v>0.6262291275081443</v>
      </c>
      <c r="H39" s="216">
        <f>H38+$I$25</f>
        <v>0.18240000000000012</v>
      </c>
    </row>
    <row r="40" spans="2:8" x14ac:dyDescent="0.2">
      <c r="B40" s="219">
        <v>4.8370191687464063E-3</v>
      </c>
      <c r="C40" s="220">
        <v>-3.0855179137103169E-2</v>
      </c>
      <c r="D40" s="220">
        <v>8.2545305406562255E-2</v>
      </c>
      <c r="E40" s="220">
        <v>0.82112561779818771</v>
      </c>
      <c r="F40" s="220">
        <v>0.12234723920775545</v>
      </c>
      <c r="G40" s="213">
        <v>0.59233884242340773</v>
      </c>
      <c r="H40" s="214">
        <f>H39+$I$25</f>
        <v>0.18760000000000013</v>
      </c>
    </row>
    <row r="41" spans="2:8" x14ac:dyDescent="0.2">
      <c r="B41" s="218">
        <v>1.8412251419312509E-2</v>
      </c>
      <c r="C41" s="130">
        <v>2.8939577427895487E-2</v>
      </c>
      <c r="D41" s="130">
        <v>6.4056227733089527E-2</v>
      </c>
      <c r="E41" s="130">
        <v>0.81301016422496064</v>
      </c>
      <c r="F41" s="130">
        <v>7.5581781639840695E-2</v>
      </c>
      <c r="G41" s="215">
        <v>0.56330203598811024</v>
      </c>
      <c r="H41" s="216">
        <f>H40+$I$25</f>
        <v>0.19280000000000014</v>
      </c>
    </row>
    <row r="42" spans="2:8" x14ac:dyDescent="0.2">
      <c r="B42" s="219">
        <v>3.1987523988532017E-2</v>
      </c>
      <c r="C42" s="220">
        <v>8.873439359746417E-2</v>
      </c>
      <c r="D42" s="220">
        <v>4.5567087309079733E-2</v>
      </c>
      <c r="E42" s="220">
        <v>0.80489460863957485</v>
      </c>
      <c r="F42" s="220">
        <v>2.8816387372501306E-2</v>
      </c>
      <c r="G42" s="213">
        <v>0.53987002317202626</v>
      </c>
      <c r="H42" s="214">
        <f>H41+$I$25</f>
        <v>0.19800000000000015</v>
      </c>
    </row>
    <row r="43" spans="2:8" x14ac:dyDescent="0.2">
      <c r="B43" s="218">
        <v>4.5562782872017621E-2</v>
      </c>
      <c r="C43" s="130">
        <v>0.1485292376189786</v>
      </c>
      <c r="D43" s="130">
        <v>2.7078162589142123E-2</v>
      </c>
      <c r="E43" s="130">
        <v>0.79677892356197355</v>
      </c>
      <c r="F43" s="130">
        <v>-1.794910772176583E-2</v>
      </c>
      <c r="G43" s="215">
        <v>0.52279698631231708</v>
      </c>
      <c r="H43" s="216">
        <f>H42+$I$25</f>
        <v>0.20320000000000016</v>
      </c>
    </row>
    <row r="44" spans="2:8" x14ac:dyDescent="0.2">
      <c r="B44" s="219">
        <v>5.9138553277766931E-2</v>
      </c>
      <c r="C44" s="220">
        <v>0.2083264171741159</v>
      </c>
      <c r="D44" s="220">
        <v>8.5884418677268162E-3</v>
      </c>
      <c r="E44" s="220">
        <v>0.7886629273721566</v>
      </c>
      <c r="F44" s="220">
        <v>-6.4716336938261371E-2</v>
      </c>
      <c r="G44" s="213">
        <v>0.5127183156286208</v>
      </c>
      <c r="H44" s="214">
        <f>H43+$I$25</f>
        <v>0.20840000000000017</v>
      </c>
    </row>
    <row r="45" spans="2:8" x14ac:dyDescent="0.2">
      <c r="B45" s="218">
        <v>7.2713342004392029E-2</v>
      </c>
      <c r="C45" s="130">
        <v>0.26811883594416447</v>
      </c>
      <c r="D45" s="130">
        <v>-9.8999196476938622E-3</v>
      </c>
      <c r="E45" s="130">
        <v>0.7805477295698291</v>
      </c>
      <c r="F45" s="130">
        <v>-0.11147998578946565</v>
      </c>
      <c r="G45" s="215">
        <v>0.51004955071546976</v>
      </c>
      <c r="H45" s="216">
        <f>H44+$I$25</f>
        <v>0.21360000000000018</v>
      </c>
    </row>
    <row r="46" spans="2:8" x14ac:dyDescent="0.2">
      <c r="B46" s="219">
        <v>8.6288434678825021E-2</v>
      </c>
      <c r="C46" s="220">
        <v>0.32791369040219137</v>
      </c>
      <c r="D46" s="220">
        <v>-2.8388928136811327E-2</v>
      </c>
      <c r="E46" s="220">
        <v>0.77243225946411553</v>
      </c>
      <c r="F46" s="220">
        <v>-0.15824545858837291</v>
      </c>
      <c r="G46" s="213">
        <v>0.51490518219221848</v>
      </c>
      <c r="H46" s="214">
        <f>H45+$I$25</f>
        <v>0.21880000000000019</v>
      </c>
    </row>
    <row r="47" spans="2:8" x14ac:dyDescent="0.2">
      <c r="B47" s="218">
        <v>9.9863955839087068E-2</v>
      </c>
      <c r="C47" s="130">
        <v>0.38770855098325263</v>
      </c>
      <c r="D47" s="130">
        <v>-4.6877922538753607E-2</v>
      </c>
      <c r="E47" s="130">
        <v>0.76431626072364645</v>
      </c>
      <c r="F47" s="130">
        <v>-0.20501084459213789</v>
      </c>
      <c r="G47" s="215">
        <v>0.52707754179425037</v>
      </c>
      <c r="H47" s="216">
        <f>H46+$I$25</f>
        <v>0.2240000000000002</v>
      </c>
    </row>
    <row r="48" spans="2:8" x14ac:dyDescent="0.2">
      <c r="B48" s="221">
        <v>0.11596918387111521</v>
      </c>
      <c r="C48" s="222">
        <v>0.44728556110809076</v>
      </c>
      <c r="D48" s="222">
        <v>-6.4749746123662008E-2</v>
      </c>
      <c r="E48" s="222">
        <v>0.75344707073228634</v>
      </c>
      <c r="F48" s="222">
        <v>-0.25195206908633788</v>
      </c>
      <c r="G48" s="213">
        <v>0.54607905226097697</v>
      </c>
      <c r="H48" s="214">
        <f>H47+$I$25</f>
        <v>0.22920000000000021</v>
      </c>
    </row>
    <row r="49" spans="2:9" x14ac:dyDescent="0.2">
      <c r="B49" s="218">
        <v>0.12701510893212986</v>
      </c>
      <c r="C49" s="130">
        <v>0.50730049686204925</v>
      </c>
      <c r="D49" s="130">
        <v>-8.3856802911033229E-2</v>
      </c>
      <c r="E49" s="130">
        <v>0.74808518071420571</v>
      </c>
      <c r="F49" s="130">
        <v>-0.29854398037162316</v>
      </c>
      <c r="G49" s="215">
        <v>0.57122558187391859</v>
      </c>
      <c r="H49" s="216">
        <f>H48+$I$25</f>
        <v>0.23440000000000022</v>
      </c>
    </row>
    <row r="50" spans="2:9" x14ac:dyDescent="0.2">
      <c r="B50" s="221">
        <v>0.13662135832018171</v>
      </c>
      <c r="C50" s="222">
        <v>0.56727984479394222</v>
      </c>
      <c r="D50" s="222">
        <v>-0.1029527230895104</v>
      </c>
      <c r="E50" s="222">
        <v>0.74440712706107404</v>
      </c>
      <c r="F50" s="222">
        <v>-0.34535560763800904</v>
      </c>
      <c r="G50" s="225">
        <v>0.601750881690996</v>
      </c>
      <c r="H50" s="226">
        <f>H49+$I$25</f>
        <v>0.23960000000000023</v>
      </c>
    </row>
    <row r="51" spans="2:9" x14ac:dyDescent="0.2">
      <c r="B51" s="218">
        <v>0.15416513988984898</v>
      </c>
      <c r="C51" s="130">
        <v>0.62688786316536771</v>
      </c>
      <c r="D51" s="130">
        <v>-0.12083413586133236</v>
      </c>
      <c r="E51" s="130">
        <v>0.73185362316689562</v>
      </c>
      <c r="F51" s="130">
        <v>-0.39207248927963917</v>
      </c>
      <c r="G51" s="215">
        <v>0.63687528242140767</v>
      </c>
      <c r="H51" s="216">
        <f>H50+$I$25</f>
        <v>0.24480000000000024</v>
      </c>
    </row>
    <row r="52" spans="2:9" ht="17" thickBot="1" x14ac:dyDescent="0.25">
      <c r="B52" s="223">
        <v>0.16773993705214266</v>
      </c>
      <c r="C52" s="224">
        <v>0.68668255254714949</v>
      </c>
      <c r="D52" s="224">
        <v>-0.13932319714848634</v>
      </c>
      <c r="E52" s="224">
        <v>0.72373878513604295</v>
      </c>
      <c r="F52" s="224">
        <v>-0.43883807757679705</v>
      </c>
      <c r="G52" s="227">
        <v>0.67588937048379116</v>
      </c>
      <c r="H52" s="228">
        <f>H51+$I$25</f>
        <v>0.25000000000000022</v>
      </c>
    </row>
    <row r="57" spans="2:9" x14ac:dyDescent="0.2">
      <c r="H57" s="2"/>
    </row>
    <row r="64" spans="2:9" x14ac:dyDescent="0.2">
      <c r="I64" s="2"/>
    </row>
    <row r="65" spans="9:9" x14ac:dyDescent="0.2">
      <c r="I65" s="2"/>
    </row>
    <row r="66" spans="9:9" x14ac:dyDescent="0.2">
      <c r="I66" s="2"/>
    </row>
  </sheetData>
  <phoneticPr fontId="6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181C4-E602-4746-973D-5D5792B812D8}">
  <dimension ref="B2:K66"/>
  <sheetViews>
    <sheetView showGridLines="0" topLeftCell="A26" zoomScale="110" zoomScaleNormal="110" workbookViewId="0">
      <selection activeCell="G35" sqref="G35"/>
    </sheetView>
  </sheetViews>
  <sheetFormatPr baseColWidth="10" defaultRowHeight="16" x14ac:dyDescent="0.2"/>
  <cols>
    <col min="1" max="2" width="15.83203125" bestFit="1" customWidth="1"/>
    <col min="3" max="3" width="14.83203125" bestFit="1" customWidth="1"/>
    <col min="4" max="4" width="13.1640625" bestFit="1" customWidth="1"/>
    <col min="5" max="5" width="15.83203125" bestFit="1" customWidth="1"/>
    <col min="8" max="8" width="11.6640625" bestFit="1" customWidth="1"/>
    <col min="9" max="9" width="12.1640625" customWidth="1"/>
    <col min="10" max="10" width="10.5" customWidth="1"/>
  </cols>
  <sheetData>
    <row r="2" spans="2:11" ht="20" thickBot="1" x14ac:dyDescent="0.3">
      <c r="B2" s="13" t="s">
        <v>47</v>
      </c>
    </row>
    <row r="3" spans="2:11" ht="17" thickBot="1" x14ac:dyDescent="0.25">
      <c r="B3" s="49" t="s">
        <v>41</v>
      </c>
      <c r="C3" s="40" t="s">
        <v>3</v>
      </c>
      <c r="D3" s="41" t="s">
        <v>6</v>
      </c>
      <c r="E3" s="41" t="s">
        <v>10</v>
      </c>
      <c r="F3" s="41" t="s">
        <v>13</v>
      </c>
      <c r="G3" s="42" t="s">
        <v>16</v>
      </c>
      <c r="J3" s="12"/>
      <c r="K3" s="12"/>
    </row>
    <row r="4" spans="2:11" ht="17" thickBot="1" x14ac:dyDescent="0.25">
      <c r="B4" s="122" t="s">
        <v>37</v>
      </c>
      <c r="C4" s="125">
        <v>0.20446343472257486</v>
      </c>
      <c r="D4" s="126">
        <v>0.23334839587811365</v>
      </c>
      <c r="E4" s="126">
        <v>0.16684767731577851</v>
      </c>
      <c r="F4" s="126">
        <v>0.19746111940972205</v>
      </c>
      <c r="G4" s="127">
        <v>0.14628966308227639</v>
      </c>
      <c r="H4" s="12"/>
      <c r="I4" s="12"/>
      <c r="J4" s="12"/>
      <c r="K4" s="12"/>
    </row>
    <row r="5" spans="2:11" ht="17" thickBot="1" x14ac:dyDescent="0.25">
      <c r="B5" s="122" t="s">
        <v>38</v>
      </c>
      <c r="C5" s="128">
        <v>0.68201674476823382</v>
      </c>
      <c r="D5" s="128">
        <v>0.72706759541598098</v>
      </c>
      <c r="E5" s="128">
        <v>1.1893405588011026</v>
      </c>
      <c r="F5" s="128">
        <v>0.5487850777994232</v>
      </c>
      <c r="G5" s="129">
        <v>1.132448355308022</v>
      </c>
    </row>
    <row r="6" spans="2:11" ht="17" thickBot="1" x14ac:dyDescent="0.25"/>
    <row r="7" spans="2:11" ht="17" thickBot="1" x14ac:dyDescent="0.25">
      <c r="B7" s="119" t="s">
        <v>40</v>
      </c>
      <c r="C7" s="41" t="s">
        <v>3</v>
      </c>
      <c r="D7" s="41" t="s">
        <v>6</v>
      </c>
      <c r="E7" s="41" t="s">
        <v>10</v>
      </c>
      <c r="F7" s="41" t="s">
        <v>13</v>
      </c>
      <c r="G7" s="42" t="s">
        <v>16</v>
      </c>
    </row>
    <row r="8" spans="2:11" x14ac:dyDescent="0.2">
      <c r="B8" s="77" t="s">
        <v>3</v>
      </c>
      <c r="C8" s="98">
        <v>1</v>
      </c>
      <c r="D8" s="98"/>
      <c r="E8" s="98"/>
      <c r="F8" s="98"/>
      <c r="G8" s="99"/>
    </row>
    <row r="9" spans="2:11" x14ac:dyDescent="0.2">
      <c r="B9" s="96" t="s">
        <v>6</v>
      </c>
      <c r="C9" s="142">
        <v>0.44584696114245531</v>
      </c>
      <c r="D9" s="130">
        <v>1</v>
      </c>
      <c r="E9" s="130"/>
      <c r="F9" s="130"/>
      <c r="G9" s="131"/>
    </row>
    <row r="10" spans="2:11" x14ac:dyDescent="0.2">
      <c r="B10" s="96" t="s">
        <v>10</v>
      </c>
      <c r="C10" s="134">
        <v>0.35497629399925862</v>
      </c>
      <c r="D10" s="143">
        <v>0.22688064095434041</v>
      </c>
      <c r="E10" s="130">
        <v>1</v>
      </c>
      <c r="F10" s="130"/>
      <c r="G10" s="131"/>
    </row>
    <row r="11" spans="2:11" x14ac:dyDescent="0.2">
      <c r="B11" s="96" t="s">
        <v>13</v>
      </c>
      <c r="C11" s="134">
        <v>0.72679126305977282</v>
      </c>
      <c r="D11" s="134">
        <v>0.45133912408488125</v>
      </c>
      <c r="E11" s="143">
        <v>0.49693986258979944</v>
      </c>
      <c r="F11" s="130">
        <v>1</v>
      </c>
      <c r="G11" s="131"/>
    </row>
    <row r="12" spans="2:11" ht="17" thickBot="1" x14ac:dyDescent="0.25">
      <c r="B12" s="97" t="s">
        <v>16</v>
      </c>
      <c r="C12" s="135">
        <v>0.50420117918045604</v>
      </c>
      <c r="D12" s="135">
        <v>0.37205144937814844</v>
      </c>
      <c r="E12" s="135">
        <v>0.39850435248415911</v>
      </c>
      <c r="F12" s="144">
        <v>0.59929139041462265</v>
      </c>
      <c r="G12" s="132">
        <v>1</v>
      </c>
    </row>
    <row r="14" spans="2:11" ht="20" thickBot="1" x14ac:dyDescent="0.3">
      <c r="B14" s="13" t="s">
        <v>43</v>
      </c>
    </row>
    <row r="15" spans="2:11" ht="17" thickBot="1" x14ac:dyDescent="0.25">
      <c r="B15" s="49" t="s">
        <v>41</v>
      </c>
      <c r="C15" s="40" t="s">
        <v>3</v>
      </c>
      <c r="D15" s="41" t="s">
        <v>6</v>
      </c>
      <c r="E15" s="41" t="s">
        <v>10</v>
      </c>
      <c r="F15" s="41" t="s">
        <v>13</v>
      </c>
      <c r="G15" s="42" t="s">
        <v>16</v>
      </c>
    </row>
    <row r="16" spans="2:11" ht="17" thickBot="1" x14ac:dyDescent="0.25">
      <c r="B16" s="152" t="s">
        <v>42</v>
      </c>
      <c r="C16" s="153">
        <v>7.0734023022891307E-2</v>
      </c>
      <c r="D16" s="153">
        <v>0.25940198142252663</v>
      </c>
      <c r="E16" s="153">
        <v>-7.2047426866914789E-3</v>
      </c>
      <c r="F16" s="153">
        <v>0.78173130104637223</v>
      </c>
      <c r="G16" s="154">
        <v>-0.10466252489037466</v>
      </c>
      <c r="H16" s="11"/>
    </row>
    <row r="18" spans="2:9" ht="20" thickBot="1" x14ac:dyDescent="0.3">
      <c r="B18" s="13" t="s">
        <v>44</v>
      </c>
    </row>
    <row r="19" spans="2:9" ht="17" thickBot="1" x14ac:dyDescent="0.25">
      <c r="B19" s="136" t="s">
        <v>45</v>
      </c>
      <c r="C19" s="137">
        <f>SQRT(C16^2*C5^2+D16^2*D5^2+E16^2*E5+F16^2*F5^2+G16^2*G5^2+2*C9*C16*D16*C5*D5+2*C10*C16*E16*C5*E5+2*C11*C16*F16*C5*F5+2*C12*C16*G16*C5*G5+2*D10*D16*E16*D5*E5+2*D11*D16*F16*D5*F5+2*D12*D16*G16*D5*G5+2*E11*E16*F16*E5*F5+2*E12*E16*G16*E5*G5+2*F12*F16*G16*F5*G5)</f>
        <v>0.50996928034969369</v>
      </c>
    </row>
    <row r="21" spans="2:9" ht="20" thickBot="1" x14ac:dyDescent="0.3">
      <c r="B21" s="13" t="s">
        <v>46</v>
      </c>
    </row>
    <row r="22" spans="2:9" ht="17" thickBot="1" x14ac:dyDescent="0.25">
      <c r="B22" s="151"/>
      <c r="C22" s="40" t="s">
        <v>58</v>
      </c>
      <c r="D22" s="49" t="s">
        <v>50</v>
      </c>
    </row>
    <row r="23" spans="2:9" ht="17" thickBot="1" x14ac:dyDescent="0.25">
      <c r="B23" s="40" t="s">
        <v>48</v>
      </c>
      <c r="C23" s="138">
        <f>SUMPRODUCT(C4:G4,C16:G16)</f>
        <v>0.21284195524730637</v>
      </c>
      <c r="D23" s="141"/>
    </row>
    <row r="24" spans="2:9" ht="17" thickBot="1" x14ac:dyDescent="0.25">
      <c r="B24" s="40" t="s">
        <v>49</v>
      </c>
      <c r="C24" s="139">
        <f>SUM(C16:G16)</f>
        <v>1.000000037914724</v>
      </c>
      <c r="D24" s="84">
        <v>1</v>
      </c>
    </row>
    <row r="25" spans="2:9" x14ac:dyDescent="0.2">
      <c r="G25" t="s">
        <v>59</v>
      </c>
    </row>
    <row r="26" spans="2:9" ht="20" thickBot="1" x14ac:dyDescent="0.3">
      <c r="D26" s="13" t="s">
        <v>130</v>
      </c>
    </row>
    <row r="27" spans="2:9" x14ac:dyDescent="0.2">
      <c r="C27" s="66" t="s">
        <v>3</v>
      </c>
      <c r="D27" s="67" t="s">
        <v>6</v>
      </c>
      <c r="E27" s="67" t="s">
        <v>10</v>
      </c>
      <c r="F27" s="67" t="s">
        <v>13</v>
      </c>
      <c r="G27" s="68" t="s">
        <v>16</v>
      </c>
      <c r="H27" s="113"/>
      <c r="I27" s="35"/>
    </row>
    <row r="28" spans="2:9" ht="18" thickBot="1" x14ac:dyDescent="0.25">
      <c r="C28" s="111" t="s">
        <v>51</v>
      </c>
      <c r="D28" s="95" t="s">
        <v>52</v>
      </c>
      <c r="E28" s="95" t="s">
        <v>53</v>
      </c>
      <c r="F28" s="95" t="s">
        <v>54</v>
      </c>
      <c r="G28" s="112" t="s">
        <v>55</v>
      </c>
      <c r="H28" s="111" t="s">
        <v>38</v>
      </c>
      <c r="I28" s="114" t="s">
        <v>60</v>
      </c>
    </row>
    <row r="29" spans="2:9" ht="17" thickBot="1" x14ac:dyDescent="0.25">
      <c r="C29" s="155">
        <v>-0.17164053198305171</v>
      </c>
      <c r="D29" s="156">
        <v>-0.80818789448598405</v>
      </c>
      <c r="E29" s="156">
        <v>0.32290291123830195</v>
      </c>
      <c r="F29" s="156">
        <v>0.92662764578576096</v>
      </c>
      <c r="G29" s="157">
        <v>0.73029786944497266</v>
      </c>
      <c r="H29" s="128">
        <f>C19</f>
        <v>0.50996928034969369</v>
      </c>
      <c r="I29" s="129">
        <f>C23</f>
        <v>0.21284195524730637</v>
      </c>
    </row>
    <row r="31" spans="2:9" ht="20" thickBot="1" x14ac:dyDescent="0.3">
      <c r="B31" s="13" t="s">
        <v>61</v>
      </c>
    </row>
    <row r="32" spans="2:9" ht="17" thickBot="1" x14ac:dyDescent="0.25">
      <c r="B32" s="136" t="s">
        <v>120</v>
      </c>
      <c r="C32" s="137">
        <v>0.2</v>
      </c>
    </row>
    <row r="33" spans="2:10" ht="17" thickBot="1" x14ac:dyDescent="0.25">
      <c r="C33" s="3"/>
      <c r="D33" s="3"/>
      <c r="E33" s="3"/>
      <c r="F33" s="3"/>
      <c r="G33" s="3"/>
      <c r="H33" s="7"/>
      <c r="I33" s="7"/>
    </row>
    <row r="34" spans="2:10" ht="17" thickBot="1" x14ac:dyDescent="0.25">
      <c r="B34" s="40" t="s">
        <v>38</v>
      </c>
      <c r="C34" s="42" t="s">
        <v>63</v>
      </c>
      <c r="D34" s="49" t="s">
        <v>61</v>
      </c>
      <c r="E34" s="49" t="s">
        <v>143</v>
      </c>
      <c r="F34" s="3"/>
      <c r="G34" s="3"/>
      <c r="H34" s="7"/>
      <c r="I34" s="7"/>
    </row>
    <row r="35" spans="2:10" ht="17" thickBot="1" x14ac:dyDescent="0.25">
      <c r="B35" s="115">
        <v>1.2199975510772945</v>
      </c>
      <c r="C35" s="116">
        <v>0.12</v>
      </c>
      <c r="D35" s="162">
        <f>(C35-$C$32)/B35</f>
        <v>-6.5573902119194921E-2</v>
      </c>
      <c r="E35" s="276">
        <f>MAX(D35:D60)</f>
        <v>7.3976603544173195E-2</v>
      </c>
      <c r="F35" s="3"/>
      <c r="G35" s="3"/>
      <c r="H35" s="7"/>
      <c r="I35" s="7"/>
      <c r="J35" s="2"/>
    </row>
    <row r="36" spans="2:10" x14ac:dyDescent="0.2">
      <c r="B36" s="117">
        <v>1.163895324860325</v>
      </c>
      <c r="C36" s="24">
        <v>0.12520000000000001</v>
      </c>
      <c r="D36" s="163">
        <f t="shared" ref="D36:D60" si="0">(C36-$C$32)/B36</f>
        <v>-6.4266947724853599E-2</v>
      </c>
    </row>
    <row r="37" spans="2:10" x14ac:dyDescent="0.2">
      <c r="B37" s="118">
        <v>1.1084300551894621</v>
      </c>
      <c r="C37" s="85">
        <v>0.13040000000000002</v>
      </c>
      <c r="D37" s="164">
        <f t="shared" si="0"/>
        <v>-6.2791512801503191E-2</v>
      </c>
    </row>
    <row r="38" spans="2:10" x14ac:dyDescent="0.2">
      <c r="B38" s="117">
        <v>1.0537167548544784</v>
      </c>
      <c r="C38" s="24">
        <v>0.13560000000000003</v>
      </c>
      <c r="D38" s="163">
        <f t="shared" si="0"/>
        <v>-6.1116993445637896E-2</v>
      </c>
    </row>
    <row r="39" spans="2:10" x14ac:dyDescent="0.2">
      <c r="B39" s="118">
        <v>0.99983194244662343</v>
      </c>
      <c r="C39" s="85">
        <v>0.14080000000000004</v>
      </c>
      <c r="D39" s="164">
        <f t="shared" si="0"/>
        <v>-5.9209950679446711E-2</v>
      </c>
    </row>
    <row r="40" spans="2:10" x14ac:dyDescent="0.2">
      <c r="B40" s="117">
        <v>0.94696812152481213</v>
      </c>
      <c r="C40" s="24">
        <v>0.14600000000000005</v>
      </c>
      <c r="D40" s="163">
        <f t="shared" si="0"/>
        <v>-5.702409486926438E-2</v>
      </c>
    </row>
    <row r="41" spans="2:10" x14ac:dyDescent="0.2">
      <c r="B41" s="118">
        <v>0.89528762738647083</v>
      </c>
      <c r="C41" s="85">
        <v>0.15120000000000006</v>
      </c>
      <c r="D41" s="164">
        <f t="shared" si="0"/>
        <v>-5.4507622474865666E-2</v>
      </c>
      <c r="E41" s="3"/>
      <c r="F41" s="3"/>
      <c r="G41" s="3"/>
      <c r="H41" s="7"/>
      <c r="I41" s="7"/>
    </row>
    <row r="42" spans="2:10" x14ac:dyDescent="0.2">
      <c r="B42" s="117">
        <v>0.84502802981830583</v>
      </c>
      <c r="C42" s="24">
        <v>0.15640000000000007</v>
      </c>
      <c r="D42" s="163">
        <f t="shared" si="0"/>
        <v>-5.1595921628037146E-2</v>
      </c>
      <c r="E42" s="3"/>
      <c r="F42" s="158"/>
      <c r="G42" s="3"/>
      <c r="H42" s="7"/>
      <c r="I42" s="7"/>
    </row>
    <row r="43" spans="2:10" x14ac:dyDescent="0.2">
      <c r="B43" s="118">
        <v>0.79639478851121281</v>
      </c>
      <c r="C43" s="85">
        <v>0.16160000000000008</v>
      </c>
      <c r="D43" s="164">
        <f t="shared" si="0"/>
        <v>-4.8217291918478296E-2</v>
      </c>
      <c r="E43" s="3"/>
      <c r="F43" s="3"/>
      <c r="G43" s="3"/>
      <c r="H43" s="7"/>
      <c r="I43" s="7"/>
    </row>
    <row r="44" spans="2:10" x14ac:dyDescent="0.2">
      <c r="B44" s="117">
        <v>0.74977037280710135</v>
      </c>
      <c r="C44" s="24">
        <v>0.16680000000000009</v>
      </c>
      <c r="D44" s="163">
        <f t="shared" si="0"/>
        <v>-4.4280223924694231E-2</v>
      </c>
      <c r="E44" s="3"/>
      <c r="F44" s="3"/>
      <c r="G44" s="3"/>
      <c r="H44" s="7"/>
      <c r="I44" s="7"/>
    </row>
    <row r="45" spans="2:10" x14ac:dyDescent="0.2">
      <c r="B45" s="118">
        <v>0.70553042128553589</v>
      </c>
      <c r="C45" s="85">
        <v>0.1720000000000001</v>
      </c>
      <c r="D45" s="164">
        <f t="shared" si="0"/>
        <v>-3.9686453135474378E-2</v>
      </c>
      <c r="E45" s="3"/>
      <c r="F45" s="3"/>
      <c r="G45" s="3"/>
      <c r="H45" s="7"/>
      <c r="I45" s="7"/>
    </row>
    <row r="46" spans="2:10" x14ac:dyDescent="0.2">
      <c r="B46" s="117">
        <v>0.66415155259185688</v>
      </c>
      <c r="C46" s="24">
        <v>0.17720000000000011</v>
      </c>
      <c r="D46" s="163">
        <f t="shared" si="0"/>
        <v>-3.4329513965634377E-2</v>
      </c>
      <c r="E46" s="3"/>
      <c r="F46" s="3"/>
      <c r="G46" s="3"/>
      <c r="H46" s="7"/>
      <c r="I46" s="7"/>
    </row>
    <row r="47" spans="2:10" x14ac:dyDescent="0.2">
      <c r="B47" s="118">
        <v>0.6262291275081443</v>
      </c>
      <c r="C47" s="85">
        <v>0.18240000000000012</v>
      </c>
      <c r="D47" s="164">
        <f t="shared" si="0"/>
        <v>-2.8104729126913697E-2</v>
      </c>
      <c r="E47" s="3"/>
      <c r="F47" s="3"/>
      <c r="G47" s="3"/>
      <c r="H47" s="7"/>
      <c r="I47" s="7"/>
    </row>
    <row r="48" spans="2:10" x14ac:dyDescent="0.2">
      <c r="B48" s="159">
        <v>0.59233884242340773</v>
      </c>
      <c r="C48" s="160">
        <v>0.18760000000000013</v>
      </c>
      <c r="D48" s="163">
        <f t="shared" si="0"/>
        <v>-2.0933963994777639E-2</v>
      </c>
      <c r="E48" s="3"/>
      <c r="F48" s="3"/>
      <c r="G48" s="3"/>
      <c r="H48" s="7"/>
      <c r="I48" s="7"/>
    </row>
    <row r="49" spans="2:9" x14ac:dyDescent="0.2">
      <c r="B49" s="118">
        <v>0.56330203598811024</v>
      </c>
      <c r="C49" s="85">
        <v>0.19280000000000014</v>
      </c>
      <c r="D49" s="164">
        <f t="shared" si="0"/>
        <v>-1.2781775211179684E-2</v>
      </c>
      <c r="E49" s="3"/>
      <c r="F49" s="3"/>
      <c r="G49" s="3"/>
      <c r="H49" s="7"/>
      <c r="I49" s="7"/>
    </row>
    <row r="50" spans="2:9" x14ac:dyDescent="0.2">
      <c r="B50" s="117">
        <v>0.53987002317202626</v>
      </c>
      <c r="C50" s="24">
        <v>0.19800000000000015</v>
      </c>
      <c r="D50" s="163">
        <f t="shared" si="0"/>
        <v>-3.7045953917737256E-3</v>
      </c>
      <c r="E50" s="3"/>
      <c r="F50" s="3"/>
      <c r="G50" s="3"/>
      <c r="H50" s="7"/>
      <c r="I50" s="7"/>
    </row>
    <row r="51" spans="2:9" x14ac:dyDescent="0.2">
      <c r="B51" s="118">
        <v>0.52279698631231708</v>
      </c>
      <c r="C51" s="85">
        <v>0.20320000000000016</v>
      </c>
      <c r="D51" s="164">
        <f t="shared" si="0"/>
        <v>6.120922812834423E-3</v>
      </c>
      <c r="E51" s="3"/>
      <c r="F51" s="3"/>
      <c r="G51" s="3"/>
      <c r="H51" s="7"/>
      <c r="I51" s="7"/>
    </row>
    <row r="52" spans="2:9" x14ac:dyDescent="0.2">
      <c r="B52" s="117">
        <v>0.5127183156286208</v>
      </c>
      <c r="C52" s="24">
        <v>0.20840000000000017</v>
      </c>
      <c r="D52" s="163">
        <f t="shared" si="0"/>
        <v>1.6383264931156782E-2</v>
      </c>
      <c r="E52" s="3"/>
      <c r="F52" s="3"/>
      <c r="G52" s="3"/>
      <c r="H52" s="7"/>
      <c r="I52" s="7"/>
    </row>
    <row r="53" spans="2:9" x14ac:dyDescent="0.2">
      <c r="B53" s="118">
        <v>0.51004955071546976</v>
      </c>
      <c r="C53" s="85">
        <v>0.21360000000000018</v>
      </c>
      <c r="D53" s="164">
        <f t="shared" si="0"/>
        <v>2.6664076031285251E-2</v>
      </c>
      <c r="E53" s="3"/>
      <c r="F53" s="3"/>
      <c r="G53" s="3"/>
      <c r="H53" s="7"/>
      <c r="I53" s="7"/>
    </row>
    <row r="54" spans="2:9" x14ac:dyDescent="0.2">
      <c r="B54" s="159">
        <v>0.51490518219221848</v>
      </c>
      <c r="C54" s="160">
        <v>0.21880000000000019</v>
      </c>
      <c r="D54" s="163">
        <f t="shared" si="0"/>
        <v>3.6511576597382113E-2</v>
      </c>
      <c r="E54" s="3"/>
      <c r="F54" s="3"/>
      <c r="G54" s="3"/>
      <c r="H54" s="7"/>
      <c r="I54" s="7"/>
    </row>
    <row r="55" spans="2:9" x14ac:dyDescent="0.2">
      <c r="B55" s="118">
        <v>0.52707754179425037</v>
      </c>
      <c r="C55" s="85">
        <v>0.2240000000000002</v>
      </c>
      <c r="D55" s="164">
        <f t="shared" si="0"/>
        <v>4.5534097162061991E-2</v>
      </c>
      <c r="E55" s="3"/>
      <c r="F55" s="3"/>
      <c r="G55" s="3"/>
      <c r="H55" s="7"/>
      <c r="I55" s="7"/>
    </row>
    <row r="56" spans="2:9" x14ac:dyDescent="0.2">
      <c r="B56" s="117">
        <v>0.54607905226097697</v>
      </c>
      <c r="C56" s="24">
        <v>0.22920000000000021</v>
      </c>
      <c r="D56" s="163">
        <f t="shared" si="0"/>
        <v>5.3472111554363759E-2</v>
      </c>
      <c r="E56" s="3"/>
      <c r="F56" s="3"/>
      <c r="G56" s="3"/>
      <c r="H56" s="7"/>
      <c r="I56" s="7"/>
    </row>
    <row r="57" spans="2:9" x14ac:dyDescent="0.2">
      <c r="B57" s="118">
        <v>0.57122558187391859</v>
      </c>
      <c r="C57" s="85">
        <v>0.23440000000000022</v>
      </c>
      <c r="D57" s="164">
        <f t="shared" si="0"/>
        <v>6.0221392548894997E-2</v>
      </c>
      <c r="E57" s="3"/>
      <c r="F57" s="3"/>
      <c r="G57" s="3"/>
      <c r="H57" s="7"/>
      <c r="I57" s="7"/>
    </row>
    <row r="58" spans="2:9" x14ac:dyDescent="0.2">
      <c r="B58" s="117">
        <v>0.601750881690996</v>
      </c>
      <c r="C58" s="24">
        <v>0.23960000000000023</v>
      </c>
      <c r="D58" s="163">
        <f t="shared" si="0"/>
        <v>6.5807963402927161E-2</v>
      </c>
      <c r="E58" s="3"/>
      <c r="F58" s="3"/>
      <c r="G58" s="3"/>
      <c r="H58" s="7"/>
      <c r="I58" s="7"/>
    </row>
    <row r="59" spans="2:9" x14ac:dyDescent="0.2">
      <c r="B59" s="118">
        <v>0.63687528242140767</v>
      </c>
      <c r="C59" s="85">
        <v>0.24480000000000024</v>
      </c>
      <c r="D59" s="164">
        <f t="shared" si="0"/>
        <v>7.0343442800402112E-2</v>
      </c>
      <c r="E59" s="3"/>
      <c r="F59" s="3"/>
      <c r="G59" s="3"/>
      <c r="H59" s="7"/>
      <c r="I59" s="7"/>
    </row>
    <row r="60" spans="2:9" ht="17" thickBot="1" x14ac:dyDescent="0.25">
      <c r="B60" s="161">
        <v>0.67588937048379116</v>
      </c>
      <c r="C60" s="123">
        <v>0.25000000000000022</v>
      </c>
      <c r="D60" s="165">
        <f t="shared" si="0"/>
        <v>7.3976603544173195E-2</v>
      </c>
      <c r="E60" s="3"/>
      <c r="F60" s="3"/>
      <c r="G60" s="3"/>
      <c r="H60" s="7"/>
      <c r="I60" s="7"/>
    </row>
    <row r="61" spans="2:9" x14ac:dyDescent="0.2">
      <c r="C61" s="3"/>
      <c r="D61" s="3"/>
      <c r="E61" s="3"/>
      <c r="F61" s="3"/>
      <c r="G61" s="3"/>
      <c r="H61" s="7"/>
      <c r="I61" s="7"/>
    </row>
    <row r="62" spans="2:9" x14ac:dyDescent="0.2">
      <c r="C62" s="3"/>
      <c r="D62" s="3"/>
      <c r="E62" s="3"/>
      <c r="F62" s="3"/>
      <c r="G62" s="3"/>
      <c r="H62" s="7"/>
      <c r="I62" s="7"/>
    </row>
    <row r="63" spans="2:9" x14ac:dyDescent="0.2">
      <c r="I63" s="2"/>
    </row>
    <row r="64" spans="2:9" x14ac:dyDescent="0.2">
      <c r="I64" s="2"/>
    </row>
    <row r="65" spans="9:9" x14ac:dyDescent="0.2">
      <c r="I65" s="2"/>
    </row>
    <row r="66" spans="9:9" x14ac:dyDescent="0.2">
      <c r="I66" s="2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93E1D-7A63-E24D-9E44-339C53E19F99}">
  <dimension ref="B1:H125"/>
  <sheetViews>
    <sheetView showGridLines="0" topLeftCell="A106" workbookViewId="0">
      <selection activeCell="E130" sqref="E130"/>
    </sheetView>
  </sheetViews>
  <sheetFormatPr baseColWidth="10" defaultRowHeight="16" x14ac:dyDescent="0.2"/>
  <cols>
    <col min="2" max="2" width="20.1640625" bestFit="1" customWidth="1"/>
    <col min="3" max="3" width="14.5" bestFit="1" customWidth="1"/>
    <col min="4" max="4" width="14.83203125" hidden="1" customWidth="1"/>
    <col min="5" max="5" width="11.6640625" bestFit="1" customWidth="1"/>
    <col min="7" max="7" width="10.83203125" hidden="1" customWidth="1"/>
    <col min="8" max="8" width="0" hidden="1" customWidth="1"/>
  </cols>
  <sheetData>
    <row r="1" spans="2:8" ht="20" thickBot="1" x14ac:dyDescent="0.25">
      <c r="B1" s="178" t="s">
        <v>0</v>
      </c>
      <c r="C1" s="178" t="s">
        <v>64</v>
      </c>
      <c r="D1" s="179" t="s">
        <v>64</v>
      </c>
      <c r="E1" s="178" t="s">
        <v>62</v>
      </c>
      <c r="G1" t="s">
        <v>65</v>
      </c>
    </row>
    <row r="2" spans="2:8" ht="17" x14ac:dyDescent="0.2">
      <c r="B2" s="166">
        <v>40544</v>
      </c>
      <c r="C2" s="167"/>
      <c r="D2" s="277">
        <v>1286.1199999999999</v>
      </c>
      <c r="E2" s="27"/>
      <c r="G2" s="7">
        <v>0.14499999999999999</v>
      </c>
      <c r="H2" s="7">
        <f>G2/100</f>
        <v>1.4499999999999999E-3</v>
      </c>
    </row>
    <row r="3" spans="2:8" ht="19" x14ac:dyDescent="0.25">
      <c r="B3" s="168">
        <v>40575</v>
      </c>
      <c r="C3" s="93">
        <f>(D3/D2-1)*12</f>
        <v>0.38347899107392891</v>
      </c>
      <c r="D3" s="278">
        <v>1327.22</v>
      </c>
      <c r="E3" s="94">
        <f>G3/100</f>
        <v>1.3500000000000001E-3</v>
      </c>
      <c r="F3" s="1"/>
      <c r="G3" s="7">
        <v>0.13500000000000001</v>
      </c>
      <c r="H3" s="7">
        <f t="shared" ref="H3:H66" si="0">G3/100</f>
        <v>1.3500000000000001E-3</v>
      </c>
    </row>
    <row r="4" spans="2:8" ht="19" x14ac:dyDescent="0.25">
      <c r="B4" s="166">
        <v>40603</v>
      </c>
      <c r="C4" s="171">
        <f>(D4/D3-1)*12</f>
        <v>-1.2567622549390034E-2</v>
      </c>
      <c r="D4" s="278">
        <v>1325.83</v>
      </c>
      <c r="E4" s="172">
        <f>G4/100</f>
        <v>8.9999999999999998E-4</v>
      </c>
      <c r="F4" s="1"/>
      <c r="G4" s="7">
        <v>0.09</v>
      </c>
      <c r="H4" s="7">
        <f t="shared" si="0"/>
        <v>8.9999999999999998E-4</v>
      </c>
    </row>
    <row r="5" spans="2:8" ht="19" x14ac:dyDescent="0.25">
      <c r="B5" s="168">
        <v>40634</v>
      </c>
      <c r="C5" s="93">
        <f>(D5/D4-1)*12</f>
        <v>0.34194429150041827</v>
      </c>
      <c r="D5" s="278">
        <v>1363.61</v>
      </c>
      <c r="E5" s="94">
        <f>G5/100</f>
        <v>4.0000000000000002E-4</v>
      </c>
      <c r="F5" s="1"/>
      <c r="G5" s="7">
        <v>0.04</v>
      </c>
      <c r="H5" s="7">
        <f t="shared" si="0"/>
        <v>4.0000000000000002E-4</v>
      </c>
    </row>
    <row r="6" spans="2:8" ht="19" x14ac:dyDescent="0.25">
      <c r="B6" s="166">
        <v>40664</v>
      </c>
      <c r="C6" s="171">
        <f>(D6/D5-1)*12</f>
        <v>-0.16201113221522112</v>
      </c>
      <c r="D6" s="278">
        <v>1345.2</v>
      </c>
      <c r="E6" s="172">
        <f>G6/100</f>
        <v>4.0000000000000002E-4</v>
      </c>
      <c r="F6" s="1"/>
      <c r="G6" s="7">
        <v>0.04</v>
      </c>
      <c r="H6" s="7">
        <f t="shared" si="0"/>
        <v>4.0000000000000002E-4</v>
      </c>
    </row>
    <row r="7" spans="2:8" ht="19" x14ac:dyDescent="0.25">
      <c r="B7" s="168">
        <v>40695</v>
      </c>
      <c r="C7" s="93">
        <f>(D7/D6-1)*12</f>
        <v>-0.21909009812667257</v>
      </c>
      <c r="D7" s="278">
        <v>1320.64</v>
      </c>
      <c r="E7" s="94">
        <f>G7/100</f>
        <v>1.4999999999999999E-4</v>
      </c>
      <c r="F7" s="1"/>
      <c r="G7" s="7">
        <v>1.4999999999999999E-2</v>
      </c>
      <c r="H7" s="7">
        <f t="shared" si="0"/>
        <v>1.4999999999999999E-4</v>
      </c>
    </row>
    <row r="8" spans="2:8" ht="19" x14ac:dyDescent="0.25">
      <c r="B8" s="166">
        <v>40725</v>
      </c>
      <c r="C8" s="171">
        <f>(D8/D7-1)*12</f>
        <v>-0.25769323964138735</v>
      </c>
      <c r="D8" s="278">
        <v>1292.28</v>
      </c>
      <c r="E8" s="172">
        <f>G8/100</f>
        <v>8.9999999999999998E-4</v>
      </c>
      <c r="F8" s="1"/>
      <c r="G8" s="7">
        <v>0.09</v>
      </c>
      <c r="H8" s="7">
        <f t="shared" si="0"/>
        <v>8.9999999999999998E-4</v>
      </c>
    </row>
    <row r="9" spans="2:8" ht="19" x14ac:dyDescent="0.25">
      <c r="B9" s="168">
        <v>40756</v>
      </c>
      <c r="C9" s="93">
        <f>(D9/D8-1)*12</f>
        <v>-0.68149317485374539</v>
      </c>
      <c r="D9" s="278">
        <v>1218.8900000000001</v>
      </c>
      <c r="E9" s="94">
        <f>G9/100</f>
        <v>1.4999999999999999E-4</v>
      </c>
      <c r="F9" s="1"/>
      <c r="G9" s="7">
        <v>1.4999999999999999E-2</v>
      </c>
      <c r="H9" s="7">
        <f t="shared" si="0"/>
        <v>1.4999999999999999E-4</v>
      </c>
    </row>
    <row r="10" spans="2:8" ht="19" x14ac:dyDescent="0.25">
      <c r="B10" s="166">
        <v>40787</v>
      </c>
      <c r="C10" s="171">
        <f>(D10/D9-1)*12</f>
        <v>-0.86114415574826353</v>
      </c>
      <c r="D10" s="278">
        <v>1131.42</v>
      </c>
      <c r="E10" s="172">
        <f>G10/100</f>
        <v>1E-4</v>
      </c>
      <c r="F10" s="1"/>
      <c r="G10" s="7">
        <v>0.01</v>
      </c>
      <c r="H10" s="7">
        <f t="shared" si="0"/>
        <v>1E-4</v>
      </c>
    </row>
    <row r="11" spans="2:8" ht="19" x14ac:dyDescent="0.25">
      <c r="B11" s="168">
        <v>40817</v>
      </c>
      <c r="C11" s="93">
        <f>(D11/D10-1)*12</f>
        <v>1.2926764596701474</v>
      </c>
      <c r="D11" s="278">
        <v>1253.3</v>
      </c>
      <c r="E11" s="94">
        <f>G11/100</f>
        <v>5.0000000000000002E-5</v>
      </c>
      <c r="F11" s="1"/>
      <c r="G11" s="7">
        <v>5.0000000000000001E-3</v>
      </c>
      <c r="H11" s="7">
        <f t="shared" si="0"/>
        <v>5.0000000000000002E-5</v>
      </c>
    </row>
    <row r="12" spans="2:8" ht="19" x14ac:dyDescent="0.25">
      <c r="B12" s="166">
        <v>40848</v>
      </c>
      <c r="C12" s="171">
        <f>(D12/D11-1)*12</f>
        <v>-6.0703742120800541E-2</v>
      </c>
      <c r="D12" s="278">
        <v>1246.96</v>
      </c>
      <c r="E12" s="172">
        <f>G12/100</f>
        <v>1.4999999999999999E-4</v>
      </c>
      <c r="F12" s="1"/>
      <c r="G12" s="7">
        <v>1.4999999999999999E-2</v>
      </c>
      <c r="H12" s="7">
        <f t="shared" si="0"/>
        <v>1.4999999999999999E-4</v>
      </c>
    </row>
    <row r="13" spans="2:8" ht="19" x14ac:dyDescent="0.25">
      <c r="B13" s="168">
        <v>40878</v>
      </c>
      <c r="C13" s="93">
        <f>(D13/D12-1)*12</f>
        <v>0.10239301982421001</v>
      </c>
      <c r="D13" s="278">
        <v>1257.5999999999999</v>
      </c>
      <c r="E13" s="94">
        <f>G13/100</f>
        <v>5.0000000000000002E-5</v>
      </c>
      <c r="F13" s="1"/>
      <c r="G13" s="7">
        <v>5.0000000000000001E-3</v>
      </c>
      <c r="H13" s="7">
        <f t="shared" si="0"/>
        <v>5.0000000000000002E-5</v>
      </c>
    </row>
    <row r="14" spans="2:8" ht="19" x14ac:dyDescent="0.25">
      <c r="B14" s="166">
        <v>40909</v>
      </c>
      <c r="C14" s="171">
        <f>(D14/D13-1)*12</f>
        <v>0.52299618320610808</v>
      </c>
      <c r="D14" s="278">
        <v>1312.41</v>
      </c>
      <c r="E14" s="172">
        <f>G14/100</f>
        <v>5.5000000000000003E-4</v>
      </c>
      <c r="F14" s="1"/>
      <c r="G14" s="7">
        <v>5.5E-2</v>
      </c>
      <c r="H14" s="7">
        <f t="shared" si="0"/>
        <v>5.5000000000000003E-4</v>
      </c>
    </row>
    <row r="15" spans="2:8" ht="19" x14ac:dyDescent="0.25">
      <c r="B15" s="168">
        <v>40940</v>
      </c>
      <c r="C15" s="93">
        <f>(D15/D14-1)*12</f>
        <v>0.48707339931881055</v>
      </c>
      <c r="D15" s="278">
        <v>1365.68</v>
      </c>
      <c r="E15" s="94">
        <f>G15/100</f>
        <v>7.5000000000000002E-4</v>
      </c>
      <c r="F15" s="1"/>
      <c r="G15" s="7">
        <v>7.4999999999999997E-2</v>
      </c>
      <c r="H15" s="7">
        <f t="shared" si="0"/>
        <v>7.5000000000000002E-4</v>
      </c>
    </row>
    <row r="16" spans="2:8" ht="19" x14ac:dyDescent="0.25">
      <c r="B16" s="166">
        <v>40969</v>
      </c>
      <c r="C16" s="173">
        <f>(D16/D15-1)*12</f>
        <v>0.37598851854021298</v>
      </c>
      <c r="D16" s="278">
        <v>1408.47</v>
      </c>
      <c r="E16" s="174">
        <f>G16/100</f>
        <v>6.4999999999999997E-4</v>
      </c>
      <c r="F16" s="1"/>
      <c r="G16" s="7">
        <v>6.5000000000000002E-2</v>
      </c>
      <c r="H16" s="7">
        <f t="shared" si="0"/>
        <v>6.4999999999999997E-4</v>
      </c>
    </row>
    <row r="17" spans="2:8" ht="19" x14ac:dyDescent="0.25">
      <c r="B17" s="168">
        <v>41000</v>
      </c>
      <c r="C17" s="93">
        <f>(D17/D16-1)*12</f>
        <v>-8.9969967411446028E-2</v>
      </c>
      <c r="D17" s="278">
        <v>1397.91</v>
      </c>
      <c r="E17" s="94">
        <f>G17/100</f>
        <v>8.9999999999999998E-4</v>
      </c>
      <c r="F17" s="1"/>
      <c r="G17" s="7">
        <v>0.09</v>
      </c>
      <c r="H17" s="7">
        <f t="shared" si="0"/>
        <v>8.9999999999999998E-4</v>
      </c>
    </row>
    <row r="18" spans="2:8" ht="19" x14ac:dyDescent="0.25">
      <c r="B18" s="166">
        <v>41030</v>
      </c>
      <c r="C18" s="171">
        <f>(D18/D17-1)*12</f>
        <v>-0.75180805631263947</v>
      </c>
      <c r="D18" s="278">
        <v>1310.33</v>
      </c>
      <c r="E18" s="172">
        <f>G18/100</f>
        <v>5.9999999999999995E-4</v>
      </c>
      <c r="F18" s="1"/>
      <c r="G18" s="7">
        <v>0.06</v>
      </c>
      <c r="H18" s="7">
        <f t="shared" si="0"/>
        <v>5.9999999999999995E-4</v>
      </c>
    </row>
    <row r="19" spans="2:8" ht="19" x14ac:dyDescent="0.25">
      <c r="B19" s="168">
        <v>41061</v>
      </c>
      <c r="C19" s="93">
        <f>(D19/D18-1)*12</f>
        <v>0.47465905535246922</v>
      </c>
      <c r="D19" s="278">
        <v>1362.16</v>
      </c>
      <c r="E19" s="94">
        <f>G19/100</f>
        <v>8.0000000000000004E-4</v>
      </c>
      <c r="F19" s="1"/>
      <c r="G19" s="7">
        <v>0.08</v>
      </c>
      <c r="H19" s="7">
        <f t="shared" si="0"/>
        <v>8.0000000000000004E-4</v>
      </c>
    </row>
    <row r="20" spans="2:8" ht="19" x14ac:dyDescent="0.25">
      <c r="B20" s="166">
        <v>41091</v>
      </c>
      <c r="C20" s="171">
        <f>(D20/D19-1)*12</f>
        <v>0.15117166852645614</v>
      </c>
      <c r="D20" s="278">
        <v>1379.32</v>
      </c>
      <c r="E20" s="172">
        <f>G20/100</f>
        <v>1E-3</v>
      </c>
      <c r="F20" s="1"/>
      <c r="G20" s="7">
        <v>0.1</v>
      </c>
      <c r="H20" s="7">
        <f t="shared" si="0"/>
        <v>1E-3</v>
      </c>
    </row>
    <row r="21" spans="2:8" ht="19" x14ac:dyDescent="0.25">
      <c r="B21" s="168">
        <v>41122</v>
      </c>
      <c r="C21" s="93">
        <f>(D21/D20-1)*12</f>
        <v>0.23716033987761964</v>
      </c>
      <c r="D21" s="278">
        <v>1406.58</v>
      </c>
      <c r="E21" s="94">
        <f>G21/100</f>
        <v>8.5000000000000006E-4</v>
      </c>
      <c r="F21" s="1"/>
      <c r="G21" s="7">
        <v>8.5000000000000006E-2</v>
      </c>
      <c r="H21" s="7">
        <f t="shared" si="0"/>
        <v>8.5000000000000006E-4</v>
      </c>
    </row>
    <row r="22" spans="2:8" ht="19" x14ac:dyDescent="0.25">
      <c r="B22" s="166">
        <v>41153</v>
      </c>
      <c r="C22" s="173">
        <f>(D22/D21-1)*12</f>
        <v>0.29083308450283862</v>
      </c>
      <c r="D22" s="278">
        <v>1440.67</v>
      </c>
      <c r="E22" s="174">
        <f>G22/100</f>
        <v>8.9999999999999998E-4</v>
      </c>
      <c r="F22" s="1"/>
      <c r="G22" s="7">
        <v>0.09</v>
      </c>
      <c r="H22" s="7">
        <f t="shared" si="0"/>
        <v>8.9999999999999998E-4</v>
      </c>
    </row>
    <row r="23" spans="2:8" ht="19" x14ac:dyDescent="0.25">
      <c r="B23" s="168">
        <v>41183</v>
      </c>
      <c r="C23" s="93">
        <f>(D23/D22-1)*12</f>
        <v>-0.23747284249689349</v>
      </c>
      <c r="D23" s="278">
        <v>1412.16</v>
      </c>
      <c r="E23" s="94">
        <f>G23/100</f>
        <v>1.0499999999999999E-3</v>
      </c>
      <c r="F23" s="1"/>
      <c r="G23" s="7">
        <v>0.105</v>
      </c>
      <c r="H23" s="7">
        <f t="shared" si="0"/>
        <v>1.0499999999999999E-3</v>
      </c>
    </row>
    <row r="24" spans="2:8" ht="19" x14ac:dyDescent="0.25">
      <c r="B24" s="166">
        <v>41214</v>
      </c>
      <c r="C24" s="171">
        <f>(D24/D23-1)*12</f>
        <v>3.4160435078178786E-2</v>
      </c>
      <c r="D24" s="278">
        <v>1416.18</v>
      </c>
      <c r="E24" s="172">
        <f>G24/100</f>
        <v>7.5000000000000002E-4</v>
      </c>
      <c r="F24" s="1"/>
      <c r="G24" s="7">
        <v>7.4999999999999997E-2</v>
      </c>
      <c r="H24" s="7">
        <f t="shared" si="0"/>
        <v>7.5000000000000002E-4</v>
      </c>
    </row>
    <row r="25" spans="2:8" ht="19" x14ac:dyDescent="0.25">
      <c r="B25" s="168">
        <v>41244</v>
      </c>
      <c r="C25" s="93">
        <f>(D25/D24-1)*12</f>
        <v>8.4819726305976673E-2</v>
      </c>
      <c r="D25" s="278">
        <v>1426.19</v>
      </c>
      <c r="E25" s="94">
        <f>G25/100</f>
        <v>3.5000000000000005E-4</v>
      </c>
      <c r="F25" s="1"/>
      <c r="G25" s="7">
        <v>3.5000000000000003E-2</v>
      </c>
      <c r="H25" s="7">
        <f t="shared" si="0"/>
        <v>3.5000000000000005E-4</v>
      </c>
    </row>
    <row r="26" spans="2:8" ht="19" x14ac:dyDescent="0.25">
      <c r="B26" s="166">
        <v>41275</v>
      </c>
      <c r="C26" s="171">
        <f>(D26/D25-1)*12</f>
        <v>0.60513676298389374</v>
      </c>
      <c r="D26" s="278">
        <v>1498.11</v>
      </c>
      <c r="E26" s="172">
        <f>G26/100</f>
        <v>6.4999999999999997E-4</v>
      </c>
      <c r="F26" s="1"/>
      <c r="G26" s="7">
        <v>6.5000000000000002E-2</v>
      </c>
      <c r="H26" s="7">
        <f t="shared" si="0"/>
        <v>6.4999999999999997E-4</v>
      </c>
    </row>
    <row r="27" spans="2:8" ht="19" x14ac:dyDescent="0.25">
      <c r="B27" s="168">
        <v>41306</v>
      </c>
      <c r="C27" s="93">
        <f>(D27/D26-1)*12</f>
        <v>0.13272723631776184</v>
      </c>
      <c r="D27" s="278">
        <v>1514.68</v>
      </c>
      <c r="E27" s="94">
        <f>G27/100</f>
        <v>1E-3</v>
      </c>
      <c r="F27" s="1"/>
      <c r="G27" s="7">
        <v>0.1</v>
      </c>
      <c r="H27" s="7">
        <f t="shared" si="0"/>
        <v>1E-3</v>
      </c>
    </row>
    <row r="28" spans="2:8" ht="19" x14ac:dyDescent="0.25">
      <c r="B28" s="166">
        <v>41334</v>
      </c>
      <c r="C28" s="173">
        <f>(D28/D27-1)*12</f>
        <v>0.43185359283809177</v>
      </c>
      <c r="D28" s="278">
        <v>1569.19</v>
      </c>
      <c r="E28" s="174">
        <f>G28/100</f>
        <v>6.4999999999999997E-4</v>
      </c>
      <c r="F28" s="1"/>
      <c r="G28" s="7">
        <v>6.5000000000000002E-2</v>
      </c>
      <c r="H28" s="7">
        <f t="shared" si="0"/>
        <v>6.4999999999999997E-4</v>
      </c>
    </row>
    <row r="29" spans="2:8" ht="19" x14ac:dyDescent="0.25">
      <c r="B29" s="168">
        <v>41365</v>
      </c>
      <c r="C29" s="93">
        <f>(D29/D28-1)*12</f>
        <v>0.21702916791465565</v>
      </c>
      <c r="D29" s="278">
        <v>1597.57</v>
      </c>
      <c r="E29" s="94">
        <f>G29/100</f>
        <v>4.4999999999999999E-4</v>
      </c>
      <c r="F29" s="1"/>
      <c r="G29" s="7">
        <v>4.4999999999999998E-2</v>
      </c>
      <c r="H29" s="7">
        <f t="shared" si="0"/>
        <v>4.4999999999999999E-4</v>
      </c>
    </row>
    <row r="30" spans="2:8" ht="19" x14ac:dyDescent="0.25">
      <c r="B30" s="166">
        <v>41395</v>
      </c>
      <c r="C30" s="171">
        <f>(D30/D29-1)*12</f>
        <v>0.24915340172887745</v>
      </c>
      <c r="D30" s="278">
        <v>1630.74</v>
      </c>
      <c r="E30" s="172">
        <f>G30/100</f>
        <v>2.9999999999999997E-4</v>
      </c>
      <c r="F30" s="1"/>
      <c r="G30" s="7">
        <v>0.03</v>
      </c>
      <c r="H30" s="7">
        <f t="shared" si="0"/>
        <v>2.9999999999999997E-4</v>
      </c>
    </row>
    <row r="31" spans="2:8" ht="19" x14ac:dyDescent="0.25">
      <c r="B31" s="168">
        <v>41426</v>
      </c>
      <c r="C31" s="93">
        <f>(D31/D30-1)*12</f>
        <v>-0.17999190551528832</v>
      </c>
      <c r="D31" s="278">
        <v>1606.28</v>
      </c>
      <c r="E31" s="94">
        <f>G31/100</f>
        <v>2.9999999999999997E-4</v>
      </c>
      <c r="F31" s="1"/>
      <c r="G31" s="7">
        <v>0.03</v>
      </c>
      <c r="H31" s="7">
        <f t="shared" si="0"/>
        <v>2.9999999999999997E-4</v>
      </c>
    </row>
    <row r="32" spans="2:8" ht="19" x14ac:dyDescent="0.25">
      <c r="B32" s="166">
        <v>41456</v>
      </c>
      <c r="C32" s="171">
        <f>(D32/D31-1)*12</f>
        <v>0.59354533456184644</v>
      </c>
      <c r="D32" s="278">
        <v>1685.73</v>
      </c>
      <c r="E32" s="172">
        <f>G32/100</f>
        <v>2.9999999999999997E-4</v>
      </c>
      <c r="F32" s="1"/>
      <c r="G32" s="7">
        <v>0.03</v>
      </c>
      <c r="H32" s="7">
        <f t="shared" si="0"/>
        <v>2.9999999999999997E-4</v>
      </c>
    </row>
    <row r="33" spans="2:8" ht="19" x14ac:dyDescent="0.25">
      <c r="B33" s="168">
        <v>41487</v>
      </c>
      <c r="C33" s="93">
        <f>(D33/D32-1)*12</f>
        <v>-0.37557615988325521</v>
      </c>
      <c r="D33" s="278">
        <v>1632.97</v>
      </c>
      <c r="E33" s="94">
        <f>G33/100</f>
        <v>2.0000000000000001E-4</v>
      </c>
      <c r="F33" s="1"/>
      <c r="G33" s="7">
        <v>0.02</v>
      </c>
      <c r="H33" s="7">
        <f t="shared" si="0"/>
        <v>2.0000000000000001E-4</v>
      </c>
    </row>
    <row r="34" spans="2:8" ht="19" x14ac:dyDescent="0.25">
      <c r="B34" s="166">
        <v>41518</v>
      </c>
      <c r="C34" s="171">
        <f>(D34/D33-1)*12</f>
        <v>0.35699369859826025</v>
      </c>
      <c r="D34" s="278">
        <v>1681.55</v>
      </c>
      <c r="E34" s="172">
        <f>G34/100</f>
        <v>5.0000000000000002E-5</v>
      </c>
      <c r="F34" s="1"/>
      <c r="G34" s="7">
        <v>5.0000000000000001E-3</v>
      </c>
      <c r="H34" s="7">
        <f t="shared" si="0"/>
        <v>5.0000000000000002E-5</v>
      </c>
    </row>
    <row r="35" spans="2:8" ht="19" x14ac:dyDescent="0.25">
      <c r="B35" s="168">
        <v>41548</v>
      </c>
      <c r="C35" s="93">
        <f>(D35/D34-1)*12</f>
        <v>0.53514911837293067</v>
      </c>
      <c r="D35" s="278">
        <v>1756.54</v>
      </c>
      <c r="E35" s="94">
        <f>G35/100</f>
        <v>3.3E-4</v>
      </c>
      <c r="F35" s="1"/>
      <c r="G35" s="7">
        <v>3.3000000000000002E-2</v>
      </c>
      <c r="H35" s="7">
        <f t="shared" si="0"/>
        <v>3.3E-4</v>
      </c>
    </row>
    <row r="36" spans="2:8" ht="19" x14ac:dyDescent="0.25">
      <c r="B36" s="166">
        <v>41579</v>
      </c>
      <c r="C36" s="171">
        <f>(D36/D35-1)*12</f>
        <v>0.33659353046329787</v>
      </c>
      <c r="D36" s="278">
        <v>1805.81</v>
      </c>
      <c r="E36" s="172">
        <f>G36/100</f>
        <v>5.5000000000000003E-4</v>
      </c>
      <c r="F36" s="1"/>
      <c r="G36" s="7">
        <v>5.5E-2</v>
      </c>
      <c r="H36" s="7">
        <f t="shared" si="0"/>
        <v>5.5000000000000003E-4</v>
      </c>
    </row>
    <row r="37" spans="2:8" ht="19" x14ac:dyDescent="0.25">
      <c r="B37" s="168">
        <v>41609</v>
      </c>
      <c r="C37" s="93">
        <f>(D37/D36-1)*12</f>
        <v>0.28275399959021019</v>
      </c>
      <c r="D37" s="278">
        <v>1848.36</v>
      </c>
      <c r="E37" s="94">
        <f>G37/100</f>
        <v>6.3000000000000003E-4</v>
      </c>
      <c r="F37" s="1"/>
      <c r="G37" s="7">
        <v>6.3E-2</v>
      </c>
      <c r="H37" s="7">
        <f t="shared" si="0"/>
        <v>6.3000000000000003E-4</v>
      </c>
    </row>
    <row r="38" spans="2:8" ht="19" x14ac:dyDescent="0.25">
      <c r="B38" s="166">
        <v>41640</v>
      </c>
      <c r="C38" s="171">
        <f>(D38/D37-1)*12</f>
        <v>-0.42699474128416481</v>
      </c>
      <c r="D38" s="278">
        <v>1782.59</v>
      </c>
      <c r="E38" s="172">
        <f>G38/100</f>
        <v>1E-4</v>
      </c>
      <c r="F38" s="1"/>
      <c r="G38" s="7">
        <v>0.01</v>
      </c>
      <c r="H38" s="7">
        <f t="shared" si="0"/>
        <v>1E-4</v>
      </c>
    </row>
    <row r="39" spans="2:8" ht="19" x14ac:dyDescent="0.25">
      <c r="B39" s="168">
        <v>41671</v>
      </c>
      <c r="C39" s="93">
        <f>(D39/D38-1)*12</f>
        <v>0.51740445082716846</v>
      </c>
      <c r="D39" s="278">
        <v>1859.45</v>
      </c>
      <c r="E39" s="94">
        <f>G39/100</f>
        <v>4.2999999999999999E-4</v>
      </c>
      <c r="F39" s="1"/>
      <c r="G39" s="7">
        <v>4.2999999999999997E-2</v>
      </c>
      <c r="H39" s="7">
        <f t="shared" si="0"/>
        <v>4.2999999999999999E-4</v>
      </c>
    </row>
    <row r="40" spans="2:8" ht="19" x14ac:dyDescent="0.25">
      <c r="B40" s="166">
        <v>41699</v>
      </c>
      <c r="C40" s="171">
        <f>(D40/D39-1)*12</f>
        <v>8.3185888300302047E-2</v>
      </c>
      <c r="D40" s="278">
        <v>1872.34</v>
      </c>
      <c r="E40" s="172">
        <f>G40/100</f>
        <v>2.8000000000000003E-4</v>
      </c>
      <c r="F40" s="1"/>
      <c r="G40" s="7">
        <v>2.8000000000000001E-2</v>
      </c>
      <c r="H40" s="7">
        <f t="shared" si="0"/>
        <v>2.8000000000000003E-4</v>
      </c>
    </row>
    <row r="41" spans="2:8" ht="19" x14ac:dyDescent="0.25">
      <c r="B41" s="168">
        <v>41730</v>
      </c>
      <c r="C41" s="93">
        <f>(D41/D40-1)*12</f>
        <v>7.4409562365810977E-2</v>
      </c>
      <c r="D41" s="278">
        <v>1883.95</v>
      </c>
      <c r="E41" s="94">
        <f>G41/100</f>
        <v>2.0000000000000001E-4</v>
      </c>
      <c r="F41" s="1"/>
      <c r="G41" s="7">
        <v>0.02</v>
      </c>
      <c r="H41" s="7">
        <f t="shared" si="0"/>
        <v>2.0000000000000001E-4</v>
      </c>
    </row>
    <row r="42" spans="2:8" ht="19" x14ac:dyDescent="0.25">
      <c r="B42" s="166">
        <v>41760</v>
      </c>
      <c r="C42" s="173">
        <f>(D42/D41-1)*12</f>
        <v>0.25236338544016412</v>
      </c>
      <c r="D42" s="278">
        <v>1923.57</v>
      </c>
      <c r="E42" s="174">
        <f>G42/100</f>
        <v>2.9999999999999997E-4</v>
      </c>
      <c r="F42" s="1"/>
      <c r="G42" s="7">
        <v>0.03</v>
      </c>
      <c r="H42" s="7">
        <f t="shared" si="0"/>
        <v>2.9999999999999997E-4</v>
      </c>
    </row>
    <row r="43" spans="2:8" ht="19" x14ac:dyDescent="0.25">
      <c r="B43" s="168">
        <v>41791</v>
      </c>
      <c r="C43" s="93">
        <f>(D43/D42-1)*12</f>
        <v>0.22869976138118275</v>
      </c>
      <c r="D43" s="278">
        <v>1960.23</v>
      </c>
      <c r="E43" s="94">
        <f>G43/100</f>
        <v>2.0000000000000001E-4</v>
      </c>
      <c r="F43" s="1"/>
      <c r="G43" s="7">
        <v>0.02</v>
      </c>
      <c r="H43" s="7">
        <f t="shared" si="0"/>
        <v>2.0000000000000001E-4</v>
      </c>
    </row>
    <row r="44" spans="2:8" ht="19" x14ac:dyDescent="0.25">
      <c r="B44" s="166">
        <v>41821</v>
      </c>
      <c r="C44" s="171">
        <f>(D44/D43-1)*12</f>
        <v>-0.18095835692750306</v>
      </c>
      <c r="D44" s="278">
        <v>1930.67</v>
      </c>
      <c r="E44" s="172">
        <f>G44/100</f>
        <v>1.7999999999999998E-4</v>
      </c>
      <c r="F44" s="1"/>
      <c r="G44" s="7">
        <v>1.7999999999999999E-2</v>
      </c>
      <c r="H44" s="7">
        <f t="shared" si="0"/>
        <v>1.7999999999999998E-4</v>
      </c>
    </row>
    <row r="45" spans="2:8" ht="19" x14ac:dyDescent="0.25">
      <c r="B45" s="168">
        <v>41852</v>
      </c>
      <c r="C45" s="93">
        <f>(D45/D44-1)*12</f>
        <v>0.45186386073228313</v>
      </c>
      <c r="D45" s="278">
        <v>2003.37</v>
      </c>
      <c r="E45" s="94">
        <f>G45/100</f>
        <v>1.7999999999999998E-4</v>
      </c>
      <c r="F45" s="1"/>
      <c r="G45" s="7">
        <v>1.7999999999999999E-2</v>
      </c>
      <c r="H45" s="7">
        <f t="shared" si="0"/>
        <v>1.7999999999999998E-4</v>
      </c>
    </row>
    <row r="46" spans="2:8" ht="19" x14ac:dyDescent="0.25">
      <c r="B46" s="166">
        <v>41883</v>
      </c>
      <c r="C46" s="171">
        <f>(D46/D45-1)*12</f>
        <v>-0.18616630976804061</v>
      </c>
      <c r="D46" s="278">
        <v>1972.29</v>
      </c>
      <c r="E46" s="172">
        <f>G46/100</f>
        <v>1.2999999999999999E-4</v>
      </c>
      <c r="F46" s="1"/>
      <c r="G46" s="7">
        <v>1.2999999999999999E-2</v>
      </c>
      <c r="H46" s="7">
        <f t="shared" si="0"/>
        <v>1.2999999999999999E-4</v>
      </c>
    </row>
    <row r="47" spans="2:8" ht="19" x14ac:dyDescent="0.25">
      <c r="B47" s="168">
        <v>41913</v>
      </c>
      <c r="C47" s="93">
        <f>(D47/D46-1)*12</f>
        <v>0.27841747410370665</v>
      </c>
      <c r="D47" s="278">
        <v>2018.05</v>
      </c>
      <c r="E47" s="94">
        <f>G47/100</f>
        <v>3.0000000000000001E-5</v>
      </c>
      <c r="F47" s="1"/>
      <c r="G47" s="7">
        <v>3.0000000000000001E-3</v>
      </c>
      <c r="H47" s="7">
        <f t="shared" si="0"/>
        <v>3.0000000000000001E-5</v>
      </c>
    </row>
    <row r="48" spans="2:8" ht="19" x14ac:dyDescent="0.25">
      <c r="B48" s="166">
        <v>41944</v>
      </c>
      <c r="C48" s="173">
        <f>(D48/D47-1)*12</f>
        <v>0.29440301280939618</v>
      </c>
      <c r="D48" s="278">
        <v>2067.56</v>
      </c>
      <c r="E48" s="174">
        <f>G48/100</f>
        <v>5.0000000000000002E-5</v>
      </c>
      <c r="F48" s="1"/>
      <c r="G48" s="7">
        <v>5.0000000000000001E-3</v>
      </c>
      <c r="H48" s="7">
        <f t="shared" si="0"/>
        <v>5.0000000000000002E-5</v>
      </c>
    </row>
    <row r="49" spans="2:8" ht="19" x14ac:dyDescent="0.25">
      <c r="B49" s="168">
        <v>41974</v>
      </c>
      <c r="C49" s="93">
        <f>(D49/D48-1)*12</f>
        <v>-5.0262144750333526E-2</v>
      </c>
      <c r="D49" s="278">
        <v>2058.9</v>
      </c>
      <c r="E49" s="94">
        <f>G49/100</f>
        <v>3.6999999999999999E-4</v>
      </c>
      <c r="F49" s="1"/>
      <c r="G49" s="7">
        <v>3.6999999999999998E-2</v>
      </c>
      <c r="H49" s="7">
        <f t="shared" si="0"/>
        <v>3.6999999999999999E-4</v>
      </c>
    </row>
    <row r="50" spans="2:8" ht="19" x14ac:dyDescent="0.25">
      <c r="B50" s="166">
        <v>42005</v>
      </c>
      <c r="C50" s="171">
        <f>(D50/D49-1)*12</f>
        <v>-0.37249016465102835</v>
      </c>
      <c r="D50" s="278">
        <v>1994.99</v>
      </c>
      <c r="E50" s="172">
        <f>G50/100</f>
        <v>5.0000000000000002E-5</v>
      </c>
      <c r="F50" s="1"/>
      <c r="G50" s="7">
        <v>5.0000000000000001E-3</v>
      </c>
      <c r="H50" s="7">
        <f t="shared" si="0"/>
        <v>5.0000000000000002E-5</v>
      </c>
    </row>
    <row r="51" spans="2:8" ht="19" x14ac:dyDescent="0.25">
      <c r="B51" s="168">
        <v>42036</v>
      </c>
      <c r="C51" s="93">
        <f>(D51/D50-1)*12</f>
        <v>0.6587100687221481</v>
      </c>
      <c r="D51" s="278">
        <v>2104.5</v>
      </c>
      <c r="E51" s="94">
        <f>G51/100</f>
        <v>8.0000000000000007E-5</v>
      </c>
      <c r="F51" s="1"/>
      <c r="G51" s="7">
        <v>8.0000000000000002E-3</v>
      </c>
      <c r="H51" s="7">
        <f t="shared" si="0"/>
        <v>8.0000000000000007E-5</v>
      </c>
    </row>
    <row r="52" spans="2:8" ht="19" x14ac:dyDescent="0.25">
      <c r="B52" s="166">
        <v>42064</v>
      </c>
      <c r="C52" s="171">
        <f>(D52/D51-1)*12</f>
        <v>-0.20875267284390686</v>
      </c>
      <c r="D52" s="278">
        <v>2067.89</v>
      </c>
      <c r="E52" s="172">
        <f>G52/100</f>
        <v>2.5000000000000001E-4</v>
      </c>
      <c r="F52" s="1"/>
      <c r="G52" s="7">
        <v>2.5000000000000001E-2</v>
      </c>
      <c r="H52" s="7">
        <f t="shared" si="0"/>
        <v>2.5000000000000001E-4</v>
      </c>
    </row>
    <row r="53" spans="2:8" ht="19" x14ac:dyDescent="0.25">
      <c r="B53" s="168">
        <v>42095</v>
      </c>
      <c r="C53" s="93">
        <f>(D53/D52-1)*12</f>
        <v>0.10224915251778466</v>
      </c>
      <c r="D53" s="278">
        <v>2085.5100000000002</v>
      </c>
      <c r="E53" s="94">
        <f>G53/100</f>
        <v>5.0000000000000002E-5</v>
      </c>
      <c r="F53" s="1"/>
      <c r="G53" s="7">
        <v>5.0000000000000001E-3</v>
      </c>
      <c r="H53" s="7">
        <f t="shared" si="0"/>
        <v>5.0000000000000002E-5</v>
      </c>
    </row>
    <row r="54" spans="2:8" ht="18" x14ac:dyDescent="0.2">
      <c r="B54" s="166">
        <v>42125</v>
      </c>
      <c r="C54" s="170">
        <f>(D54/D53-1)*12</f>
        <v>0.12589726254009737</v>
      </c>
      <c r="D54" s="278">
        <v>2107.39</v>
      </c>
      <c r="E54" s="175">
        <f>G54/100</f>
        <v>3.0000000000000001E-5</v>
      </c>
      <c r="F54" s="1"/>
      <c r="G54" s="7">
        <v>3.0000000000000001E-3</v>
      </c>
      <c r="H54" s="7">
        <f t="shared" si="0"/>
        <v>3.0000000000000001E-5</v>
      </c>
    </row>
    <row r="55" spans="2:8" ht="19" x14ac:dyDescent="0.25">
      <c r="B55" s="168">
        <v>42156</v>
      </c>
      <c r="C55" s="93">
        <f>(D55/D54-1)*12</f>
        <v>-0.2521412742776592</v>
      </c>
      <c r="D55" s="278">
        <v>2063.11</v>
      </c>
      <c r="E55" s="94">
        <f>G55/100</f>
        <v>1E-4</v>
      </c>
      <c r="F55" s="1"/>
      <c r="G55" s="7">
        <v>0.01</v>
      </c>
      <c r="H55" s="7">
        <f t="shared" si="0"/>
        <v>1E-4</v>
      </c>
    </row>
    <row r="56" spans="2:8" ht="19" x14ac:dyDescent="0.25">
      <c r="B56" s="166">
        <v>42186</v>
      </c>
      <c r="C56" s="171">
        <f>(D56/D55-1)*12</f>
        <v>0.23690447916010271</v>
      </c>
      <c r="D56" s="278">
        <v>2103.84</v>
      </c>
      <c r="E56" s="172">
        <f>G56/100</f>
        <v>5.8E-4</v>
      </c>
      <c r="F56" s="1"/>
      <c r="G56" s="7">
        <v>5.8000000000000003E-2</v>
      </c>
      <c r="H56" s="7">
        <f t="shared" si="0"/>
        <v>5.8E-4</v>
      </c>
    </row>
    <row r="57" spans="2:8" ht="19" x14ac:dyDescent="0.25">
      <c r="B57" s="168">
        <v>42217</v>
      </c>
      <c r="C57" s="93">
        <f>(D57/D56-1)*12</f>
        <v>-0.75096965548710948</v>
      </c>
      <c r="D57" s="278">
        <v>1972.18</v>
      </c>
      <c r="E57" s="94">
        <f>G57/100</f>
        <v>3.0000000000000001E-5</v>
      </c>
      <c r="F57" s="1"/>
      <c r="G57" s="7">
        <v>3.0000000000000001E-3</v>
      </c>
      <c r="H57" s="7">
        <f t="shared" si="0"/>
        <v>3.0000000000000001E-5</v>
      </c>
    </row>
    <row r="58" spans="2:8" ht="19" x14ac:dyDescent="0.25">
      <c r="B58" s="166">
        <v>42248</v>
      </c>
      <c r="C58" s="171">
        <f>(D58/D57-1)*12</f>
        <v>-0.31731383545112513</v>
      </c>
      <c r="D58" s="278">
        <v>1920.03</v>
      </c>
      <c r="E58" s="172">
        <f>G58/100</f>
        <v>5.0000000000000002E-5</v>
      </c>
      <c r="F58" s="1"/>
      <c r="G58" s="7">
        <v>5.0000000000000001E-3</v>
      </c>
      <c r="H58" s="7">
        <f t="shared" si="0"/>
        <v>5.0000000000000002E-5</v>
      </c>
    </row>
    <row r="59" spans="2:8" ht="19" x14ac:dyDescent="0.25">
      <c r="B59" s="168">
        <v>42278</v>
      </c>
      <c r="C59" s="93">
        <f>(D59/D58-1)*12</f>
        <v>0.995796940672804</v>
      </c>
      <c r="D59" s="278">
        <v>2079.36</v>
      </c>
      <c r="E59" s="94">
        <f>G59/100</f>
        <v>6.8000000000000005E-4</v>
      </c>
      <c r="F59" s="1"/>
      <c r="G59" s="7">
        <v>6.8000000000000005E-2</v>
      </c>
      <c r="H59" s="7">
        <f t="shared" si="0"/>
        <v>6.8000000000000005E-4</v>
      </c>
    </row>
    <row r="60" spans="2:8" ht="19" x14ac:dyDescent="0.25">
      <c r="B60" s="166">
        <v>42309</v>
      </c>
      <c r="C60" s="171">
        <f>(D60/D59-1)*12</f>
        <v>6.0595567867016698E-3</v>
      </c>
      <c r="D60" s="278">
        <v>2080.41</v>
      </c>
      <c r="E60" s="172">
        <f>G60/100</f>
        <v>1.7000000000000001E-3</v>
      </c>
      <c r="F60" s="1"/>
      <c r="G60" s="7">
        <v>0.17</v>
      </c>
      <c r="H60" s="7">
        <f t="shared" si="0"/>
        <v>1.7000000000000001E-3</v>
      </c>
    </row>
    <row r="61" spans="2:8" ht="19" x14ac:dyDescent="0.25">
      <c r="B61" s="168">
        <v>42339</v>
      </c>
      <c r="C61" s="93">
        <f>(D61/D60-1)*12</f>
        <v>-0.21036238049230516</v>
      </c>
      <c r="D61" s="278">
        <v>2043.94</v>
      </c>
      <c r="E61" s="94">
        <f>G61/100</f>
        <v>1.48E-3</v>
      </c>
      <c r="F61" s="1"/>
      <c r="G61" s="7">
        <v>0.14799999999999999</v>
      </c>
      <c r="H61" s="7">
        <f t="shared" si="0"/>
        <v>1.48E-3</v>
      </c>
    </row>
    <row r="62" spans="2:8" ht="19" x14ac:dyDescent="0.25">
      <c r="B62" s="166">
        <v>42370</v>
      </c>
      <c r="C62" s="171">
        <f>(D62/D61-1)*12</f>
        <v>-0.60882413378083466</v>
      </c>
      <c r="D62" s="278">
        <v>1940.24</v>
      </c>
      <c r="E62" s="172">
        <f>G62/100</f>
        <v>3.0000000000000001E-3</v>
      </c>
      <c r="F62" s="1"/>
      <c r="G62" s="7">
        <v>0.3</v>
      </c>
      <c r="H62" s="7">
        <f t="shared" si="0"/>
        <v>3.0000000000000001E-3</v>
      </c>
    </row>
    <row r="63" spans="2:8" ht="19" x14ac:dyDescent="0.25">
      <c r="B63" s="168">
        <v>42401</v>
      </c>
      <c r="C63" s="93">
        <f>(D63/D62-1)*12</f>
        <v>-4.9540263060239731E-2</v>
      </c>
      <c r="D63" s="278">
        <v>1932.23</v>
      </c>
      <c r="E63" s="94">
        <f>G63/100</f>
        <v>3.0799999999999998E-3</v>
      </c>
      <c r="F63" s="1"/>
      <c r="G63" s="7">
        <v>0.308</v>
      </c>
      <c r="H63" s="7">
        <f t="shared" si="0"/>
        <v>3.0799999999999998E-3</v>
      </c>
    </row>
    <row r="64" spans="2:8" ht="19" x14ac:dyDescent="0.25">
      <c r="B64" s="166">
        <v>42430</v>
      </c>
      <c r="C64" s="171">
        <f>(D64/D63-1)*12</f>
        <v>0.79189330462729313</v>
      </c>
      <c r="D64" s="278">
        <v>2059.7399999999998</v>
      </c>
      <c r="E64" s="172">
        <f>G64/100</f>
        <v>1.9300000000000001E-3</v>
      </c>
      <c r="F64" s="1"/>
      <c r="G64" s="7">
        <v>0.193</v>
      </c>
      <c r="H64" s="7">
        <f t="shared" si="0"/>
        <v>1.9300000000000001E-3</v>
      </c>
    </row>
    <row r="65" spans="2:8" ht="19" x14ac:dyDescent="0.25">
      <c r="B65" s="168">
        <v>42461</v>
      </c>
      <c r="C65" s="93">
        <f>(D65/D64-1)*12</f>
        <v>3.239243788051116E-2</v>
      </c>
      <c r="D65" s="278">
        <v>2065.3000000000002</v>
      </c>
      <c r="E65" s="94">
        <f>G65/100</f>
        <v>1.9300000000000001E-3</v>
      </c>
      <c r="F65" s="1"/>
      <c r="G65" s="7">
        <v>0.193</v>
      </c>
      <c r="H65" s="7">
        <f t="shared" si="0"/>
        <v>1.9300000000000001E-3</v>
      </c>
    </row>
    <row r="66" spans="2:8" ht="19" x14ac:dyDescent="0.25">
      <c r="B66" s="166">
        <v>42491</v>
      </c>
      <c r="C66" s="171">
        <f>(D66/D65-1)*12</f>
        <v>0.18389580206265332</v>
      </c>
      <c r="D66" s="278">
        <v>2096.9499999999998</v>
      </c>
      <c r="E66" s="172">
        <f>G66/100</f>
        <v>2.8299999999999996E-3</v>
      </c>
      <c r="F66" s="1"/>
      <c r="G66" s="7">
        <v>0.28299999999999997</v>
      </c>
      <c r="H66" s="7">
        <f t="shared" si="0"/>
        <v>2.8299999999999996E-3</v>
      </c>
    </row>
    <row r="67" spans="2:8" ht="19" x14ac:dyDescent="0.25">
      <c r="B67" s="168">
        <v>42522</v>
      </c>
      <c r="C67" s="93">
        <f>(D67/D66-1)*12</f>
        <v>1.0930160471162687E-2</v>
      </c>
      <c r="D67" s="278">
        <v>2098.86</v>
      </c>
      <c r="E67" s="94">
        <f>G67/100</f>
        <v>2.48E-3</v>
      </c>
      <c r="F67" s="1"/>
      <c r="G67" s="7">
        <v>0.248</v>
      </c>
      <c r="H67" s="7">
        <f t="shared" ref="H67:H121" si="1">G67/100</f>
        <v>2.48E-3</v>
      </c>
    </row>
    <row r="68" spans="2:8" ht="19" x14ac:dyDescent="0.25">
      <c r="B68" s="166">
        <v>42552</v>
      </c>
      <c r="C68" s="173">
        <f>(D68/D67-1)*12</f>
        <v>0.42731768674423076</v>
      </c>
      <c r="D68" s="278">
        <v>2173.6</v>
      </c>
      <c r="E68" s="174">
        <f>G68/100</f>
        <v>2.3999999999999998E-3</v>
      </c>
      <c r="F68" s="1"/>
      <c r="G68" s="7">
        <v>0.24</v>
      </c>
      <c r="H68" s="7">
        <f t="shared" si="1"/>
        <v>2.3999999999999998E-3</v>
      </c>
    </row>
    <row r="69" spans="2:8" ht="19" x14ac:dyDescent="0.25">
      <c r="B69" s="168">
        <v>42583</v>
      </c>
      <c r="C69" s="93">
        <f>(D69/D68-1)*12</f>
        <v>-1.4630106735369797E-2</v>
      </c>
      <c r="D69" s="278">
        <v>2170.9499999999998</v>
      </c>
      <c r="E69" s="94">
        <f>G69/100</f>
        <v>3.2000000000000002E-3</v>
      </c>
      <c r="F69" s="1"/>
      <c r="G69" s="7">
        <v>0.32</v>
      </c>
      <c r="H69" s="7">
        <f t="shared" si="1"/>
        <v>3.2000000000000002E-3</v>
      </c>
    </row>
    <row r="70" spans="2:8" ht="19" x14ac:dyDescent="0.25">
      <c r="B70" s="166">
        <v>42614</v>
      </c>
      <c r="C70" s="171">
        <f>(D70/D69-1)*12</f>
        <v>-1.4813791197401116E-2</v>
      </c>
      <c r="D70" s="278">
        <v>2168.27</v>
      </c>
      <c r="E70" s="172">
        <f>G70/100</f>
        <v>2.5999999999999999E-3</v>
      </c>
      <c r="F70" s="1"/>
      <c r="G70" s="7">
        <v>0.26</v>
      </c>
      <c r="H70" s="7">
        <f t="shared" si="1"/>
        <v>2.5999999999999999E-3</v>
      </c>
    </row>
    <row r="71" spans="2:8" ht="19" x14ac:dyDescent="0.25">
      <c r="B71" s="168">
        <v>42644</v>
      </c>
      <c r="C71" s="93">
        <f>(D71/D70-1)*12</f>
        <v>-0.23310750044966699</v>
      </c>
      <c r="D71" s="278">
        <v>2126.15</v>
      </c>
      <c r="E71" s="94">
        <f>G71/100</f>
        <v>2.9499999999999999E-3</v>
      </c>
      <c r="F71" s="1"/>
      <c r="G71" s="7">
        <v>0.29499999999999998</v>
      </c>
      <c r="H71" s="7">
        <f t="shared" si="1"/>
        <v>2.9499999999999999E-3</v>
      </c>
    </row>
    <row r="72" spans="2:8" ht="19" x14ac:dyDescent="0.25">
      <c r="B72" s="166">
        <v>42675</v>
      </c>
      <c r="C72" s="171">
        <f>(D72/D71-1)*12</f>
        <v>0.41009336123979789</v>
      </c>
      <c r="D72" s="278">
        <v>2198.81</v>
      </c>
      <c r="E72" s="172">
        <f>G72/100</f>
        <v>4.6800000000000001E-3</v>
      </c>
      <c r="F72" s="1"/>
      <c r="G72" s="7">
        <v>0.46800000000000003</v>
      </c>
      <c r="H72" s="7">
        <f t="shared" si="1"/>
        <v>4.6800000000000001E-3</v>
      </c>
    </row>
    <row r="73" spans="2:8" ht="19" x14ac:dyDescent="0.25">
      <c r="B73" s="168">
        <v>42705</v>
      </c>
      <c r="C73" s="93">
        <f>(D73/D72-1)*12</f>
        <v>0.21840904853079657</v>
      </c>
      <c r="D73" s="278">
        <v>2238.83</v>
      </c>
      <c r="E73" s="94">
        <f>G73/100</f>
        <v>4.7999999999999996E-3</v>
      </c>
      <c r="F73" s="1"/>
      <c r="G73" s="7">
        <v>0.48</v>
      </c>
      <c r="H73" s="7">
        <f t="shared" si="1"/>
        <v>4.7999999999999996E-3</v>
      </c>
    </row>
    <row r="74" spans="2:8" ht="19" x14ac:dyDescent="0.25">
      <c r="B74" s="166">
        <v>42736</v>
      </c>
      <c r="C74" s="173">
        <f>(D74/D73-1)*12</f>
        <v>0.21461209649682988</v>
      </c>
      <c r="D74" s="278">
        <v>2278.87</v>
      </c>
      <c r="E74" s="174">
        <f>G74/100</f>
        <v>5.0000000000000001E-3</v>
      </c>
      <c r="F74" s="1"/>
      <c r="G74" s="7">
        <v>0.5</v>
      </c>
      <c r="H74" s="7">
        <f t="shared" si="1"/>
        <v>5.0000000000000001E-3</v>
      </c>
    </row>
    <row r="75" spans="2:8" ht="19" x14ac:dyDescent="0.25">
      <c r="B75" s="168">
        <v>42767</v>
      </c>
      <c r="C75" s="93">
        <f>(D75/D74-1)*12</f>
        <v>0.44637912649690481</v>
      </c>
      <c r="D75" s="278">
        <v>2363.64</v>
      </c>
      <c r="E75" s="94">
        <f>G75/100</f>
        <v>5.2300000000000003E-3</v>
      </c>
      <c r="F75" s="1"/>
      <c r="G75" s="7">
        <v>0.52300000000000002</v>
      </c>
      <c r="H75" s="7">
        <f t="shared" si="1"/>
        <v>5.2300000000000003E-3</v>
      </c>
    </row>
    <row r="76" spans="2:8" ht="19" x14ac:dyDescent="0.25">
      <c r="B76" s="166">
        <v>42795</v>
      </c>
      <c r="C76" s="171">
        <f>(D76/D75-1)*12</f>
        <v>-4.6707620449817355E-3</v>
      </c>
      <c r="D76" s="278">
        <v>2362.7199999999998</v>
      </c>
      <c r="E76" s="172">
        <f>G76/100</f>
        <v>7.3800000000000003E-3</v>
      </c>
      <c r="F76" s="1"/>
      <c r="G76" s="7">
        <v>0.73799999999999999</v>
      </c>
      <c r="H76" s="7">
        <f t="shared" si="1"/>
        <v>7.3800000000000003E-3</v>
      </c>
    </row>
    <row r="77" spans="2:8" ht="19" x14ac:dyDescent="0.25">
      <c r="B77" s="168">
        <v>42826</v>
      </c>
      <c r="C77" s="93">
        <f>(D77/D76-1)*12</f>
        <v>0.10909460283063588</v>
      </c>
      <c r="D77" s="278">
        <v>2384.1999999999998</v>
      </c>
      <c r="E77" s="94">
        <f>G77/100</f>
        <v>7.8000000000000005E-3</v>
      </c>
      <c r="F77" s="1"/>
      <c r="G77" s="7">
        <v>0.78</v>
      </c>
      <c r="H77" s="7">
        <f t="shared" si="1"/>
        <v>7.8000000000000005E-3</v>
      </c>
    </row>
    <row r="78" spans="2:8" ht="19" x14ac:dyDescent="0.25">
      <c r="B78" s="166">
        <v>42856</v>
      </c>
      <c r="C78" s="171">
        <f>(D78/D77-1)*12</f>
        <v>0.13891452059391263</v>
      </c>
      <c r="D78" s="278">
        <v>2411.8000000000002</v>
      </c>
      <c r="E78" s="172">
        <f>G78/100</f>
        <v>9.4999999999999998E-3</v>
      </c>
      <c r="F78" s="1"/>
      <c r="G78" s="7">
        <v>0.95</v>
      </c>
      <c r="H78" s="7">
        <f t="shared" si="1"/>
        <v>9.4999999999999998E-3</v>
      </c>
    </row>
    <row r="79" spans="2:8" ht="19" x14ac:dyDescent="0.25">
      <c r="B79" s="168">
        <v>42887</v>
      </c>
      <c r="C79" s="93">
        <f>(D79/D78-1)*12</f>
        <v>5.7765983912429597E-2</v>
      </c>
      <c r="D79" s="278">
        <v>2423.41</v>
      </c>
      <c r="E79" s="94">
        <f>G79/100</f>
        <v>9.9299999999999996E-3</v>
      </c>
      <c r="F79" s="1"/>
      <c r="G79" s="7">
        <v>0.99299999999999999</v>
      </c>
      <c r="H79" s="7">
        <f t="shared" si="1"/>
        <v>9.9299999999999996E-3</v>
      </c>
    </row>
    <row r="80" spans="2:8" ht="18" x14ac:dyDescent="0.2">
      <c r="B80" s="166">
        <v>42917</v>
      </c>
      <c r="C80" s="170">
        <f>(D80/D79-1)*12</f>
        <v>0.23218522660218532</v>
      </c>
      <c r="D80" s="278">
        <v>2470.3000000000002</v>
      </c>
      <c r="E80" s="175">
        <f>G80/100</f>
        <v>1.0529999999999999E-2</v>
      </c>
      <c r="F80" s="1"/>
      <c r="G80" s="7">
        <v>1.0529999999999999</v>
      </c>
      <c r="H80" s="7">
        <f t="shared" si="1"/>
        <v>1.0529999999999999E-2</v>
      </c>
    </row>
    <row r="81" spans="2:8" ht="19" x14ac:dyDescent="0.25">
      <c r="B81" s="168">
        <v>42948</v>
      </c>
      <c r="C81" s="93">
        <f>(D81/D80-1)*12</f>
        <v>6.5579079464033185E-3</v>
      </c>
      <c r="D81" s="278">
        <v>2471.65</v>
      </c>
      <c r="E81" s="94">
        <f>G81/100</f>
        <v>9.7800000000000005E-3</v>
      </c>
      <c r="F81" s="1"/>
      <c r="G81" s="7">
        <v>0.97799999999999998</v>
      </c>
      <c r="H81" s="7">
        <f t="shared" si="1"/>
        <v>9.7800000000000005E-3</v>
      </c>
    </row>
    <row r="82" spans="2:8" ht="19" x14ac:dyDescent="0.25">
      <c r="B82" s="166">
        <v>42979</v>
      </c>
      <c r="C82" s="171">
        <f>(D82/D81-1)*12</f>
        <v>0.23163473792810585</v>
      </c>
      <c r="D82" s="278">
        <v>2519.36</v>
      </c>
      <c r="E82" s="172">
        <f>G82/100</f>
        <v>1.0280000000000001E-2</v>
      </c>
      <c r="F82" s="1"/>
      <c r="G82" s="7">
        <v>1.028</v>
      </c>
      <c r="H82" s="7">
        <f t="shared" si="1"/>
        <v>1.0280000000000001E-2</v>
      </c>
    </row>
    <row r="83" spans="2:8" ht="19" x14ac:dyDescent="0.25">
      <c r="B83" s="168">
        <v>43009</v>
      </c>
      <c r="C83" s="93">
        <f>(D83/D82-1)*12</f>
        <v>0.26625809729455252</v>
      </c>
      <c r="D83" s="278">
        <v>2575.2600000000002</v>
      </c>
      <c r="E83" s="94">
        <f>G83/100</f>
        <v>1.123E-2</v>
      </c>
      <c r="F83" s="1"/>
      <c r="G83" s="7">
        <v>1.123</v>
      </c>
      <c r="H83" s="7">
        <f t="shared" si="1"/>
        <v>1.123E-2</v>
      </c>
    </row>
    <row r="84" spans="2:8" ht="19" x14ac:dyDescent="0.25">
      <c r="B84" s="166">
        <v>43040</v>
      </c>
      <c r="C84" s="171">
        <f>(D84/D83-1)*12</f>
        <v>0.33699121642086549</v>
      </c>
      <c r="D84" s="278">
        <v>2647.58</v>
      </c>
      <c r="E84" s="172">
        <f>G84/100</f>
        <v>1.238E-2</v>
      </c>
      <c r="F84" s="1"/>
      <c r="G84" s="7">
        <v>1.238</v>
      </c>
      <c r="H84" s="7">
        <f t="shared" si="1"/>
        <v>1.238E-2</v>
      </c>
    </row>
    <row r="85" spans="2:8" ht="19" x14ac:dyDescent="0.25">
      <c r="B85" s="168">
        <v>43070</v>
      </c>
      <c r="C85" s="93">
        <f>(D85/D84-1)*12</f>
        <v>0.11797943782624198</v>
      </c>
      <c r="D85" s="278">
        <v>2673.61</v>
      </c>
      <c r="E85" s="94">
        <f>G85/100</f>
        <v>1.355E-2</v>
      </c>
      <c r="F85" s="1"/>
      <c r="G85" s="7">
        <v>1.355</v>
      </c>
      <c r="H85" s="7">
        <f t="shared" si="1"/>
        <v>1.355E-2</v>
      </c>
    </row>
    <row r="86" spans="2:8" ht="19" x14ac:dyDescent="0.25">
      <c r="B86" s="166">
        <v>43101</v>
      </c>
      <c r="C86" s="171">
        <f>(D86/D85-1)*12</f>
        <v>0.67414469574844471</v>
      </c>
      <c r="D86" s="278">
        <v>2823.81</v>
      </c>
      <c r="E86" s="172">
        <f>G86/100</f>
        <v>1.43E-2</v>
      </c>
      <c r="F86" s="1"/>
      <c r="G86" s="7">
        <v>1.43</v>
      </c>
      <c r="H86" s="7">
        <f t="shared" si="1"/>
        <v>1.43E-2</v>
      </c>
    </row>
    <row r="87" spans="2:8" ht="19" x14ac:dyDescent="0.25">
      <c r="B87" s="168">
        <v>43132</v>
      </c>
      <c r="C87" s="93">
        <f>(D87/D86-1)*12</f>
        <v>-0.46736855524982213</v>
      </c>
      <c r="D87" s="278">
        <v>2713.83</v>
      </c>
      <c r="E87" s="94">
        <f>G87/100</f>
        <v>1.618E-2</v>
      </c>
      <c r="F87" s="1"/>
      <c r="G87" s="7">
        <v>1.6180000000000001</v>
      </c>
      <c r="H87" s="7">
        <f t="shared" si="1"/>
        <v>1.618E-2</v>
      </c>
    </row>
    <row r="88" spans="2:8" ht="19" x14ac:dyDescent="0.25">
      <c r="B88" s="166">
        <v>43160</v>
      </c>
      <c r="C88" s="171">
        <f>(D88/D87-1)*12</f>
        <v>-0.32261416522037178</v>
      </c>
      <c r="D88" s="278">
        <v>2640.87</v>
      </c>
      <c r="E88" s="172">
        <f>G88/100</f>
        <v>1.67E-2</v>
      </c>
      <c r="F88" s="1"/>
      <c r="G88" s="7">
        <v>1.67</v>
      </c>
      <c r="H88" s="7">
        <f t="shared" si="1"/>
        <v>1.67E-2</v>
      </c>
    </row>
    <row r="89" spans="2:8" ht="19" x14ac:dyDescent="0.25">
      <c r="B89" s="168">
        <v>43191</v>
      </c>
      <c r="C89" s="93">
        <f>(D89/D88-1)*12</f>
        <v>3.2625612014224536E-2</v>
      </c>
      <c r="D89" s="278">
        <v>2648.05</v>
      </c>
      <c r="E89" s="94">
        <f>G89/100</f>
        <v>1.763E-2</v>
      </c>
      <c r="F89" s="1"/>
      <c r="G89" s="7">
        <v>1.7629999999999999</v>
      </c>
      <c r="H89" s="7">
        <f t="shared" si="1"/>
        <v>1.763E-2</v>
      </c>
    </row>
    <row r="90" spans="2:8" ht="19" x14ac:dyDescent="0.25">
      <c r="B90" s="166">
        <v>43221</v>
      </c>
      <c r="C90" s="171">
        <f>(D90/D89-1)*12</f>
        <v>0.25930023979909667</v>
      </c>
      <c r="D90" s="278">
        <v>2705.27</v>
      </c>
      <c r="E90" s="172">
        <f>G90/100</f>
        <v>1.8700000000000001E-2</v>
      </c>
      <c r="F90" s="1"/>
      <c r="G90" s="7">
        <v>1.87</v>
      </c>
      <c r="H90" s="7">
        <f t="shared" si="1"/>
        <v>1.8700000000000001E-2</v>
      </c>
    </row>
    <row r="91" spans="2:8" ht="19" x14ac:dyDescent="0.25">
      <c r="B91" s="168">
        <v>43252</v>
      </c>
      <c r="C91" s="93">
        <f>(D91/D90-1)*12</f>
        <v>5.8108802448553654E-2</v>
      </c>
      <c r="D91" s="278">
        <v>2718.37</v>
      </c>
      <c r="E91" s="94">
        <f>G91/100</f>
        <v>1.8799999999999997E-2</v>
      </c>
      <c r="F91" s="1"/>
      <c r="G91" s="7">
        <v>1.88</v>
      </c>
      <c r="H91" s="7">
        <f t="shared" si="1"/>
        <v>1.8799999999999997E-2</v>
      </c>
    </row>
    <row r="92" spans="2:8" ht="19" x14ac:dyDescent="0.25">
      <c r="B92" s="166">
        <v>43282</v>
      </c>
      <c r="C92" s="171">
        <f>(D92/D91-1)*12</f>
        <v>0.43225903758502504</v>
      </c>
      <c r="D92" s="278">
        <v>2816.29</v>
      </c>
      <c r="E92" s="172">
        <f>G92/100</f>
        <v>1.985E-2</v>
      </c>
      <c r="F92" s="1"/>
      <c r="G92" s="7">
        <v>1.9850000000000001</v>
      </c>
      <c r="H92" s="7">
        <f t="shared" si="1"/>
        <v>1.985E-2</v>
      </c>
    </row>
    <row r="93" spans="2:8" ht="19" x14ac:dyDescent="0.25">
      <c r="B93" s="168">
        <v>43313</v>
      </c>
      <c r="C93" s="93">
        <f>(D93/D92-1)*12</f>
        <v>0.363158623579249</v>
      </c>
      <c r="D93" s="278">
        <v>2901.52</v>
      </c>
      <c r="E93" s="94">
        <f>G93/100</f>
        <v>2.0550000000000002E-2</v>
      </c>
      <c r="F93" s="1"/>
      <c r="G93" s="7">
        <v>2.0550000000000002</v>
      </c>
      <c r="H93" s="7">
        <f t="shared" si="1"/>
        <v>2.0550000000000002E-2</v>
      </c>
    </row>
    <row r="94" spans="2:8" ht="19" x14ac:dyDescent="0.25">
      <c r="B94" s="166">
        <v>43344</v>
      </c>
      <c r="C94" s="173">
        <f>(D94/D93-1)*12</f>
        <v>5.153161101767445E-2</v>
      </c>
      <c r="D94" s="278">
        <v>2913.98</v>
      </c>
      <c r="E94" s="174">
        <f>G94/100</f>
        <v>2.1499999999999998E-2</v>
      </c>
      <c r="F94" s="1"/>
      <c r="G94" s="7">
        <v>2.15</v>
      </c>
      <c r="H94" s="7">
        <f t="shared" si="1"/>
        <v>2.1499999999999998E-2</v>
      </c>
    </row>
    <row r="95" spans="2:8" ht="19" x14ac:dyDescent="0.25">
      <c r="B95" s="168">
        <v>43374</v>
      </c>
      <c r="C95" s="93">
        <f>(D95/D94-1)*12</f>
        <v>-0.83284030775777573</v>
      </c>
      <c r="D95" s="278">
        <v>2711.74</v>
      </c>
      <c r="E95" s="94">
        <f>G95/100</f>
        <v>2.2780000000000002E-2</v>
      </c>
      <c r="F95" s="1"/>
      <c r="G95" s="7">
        <v>2.278</v>
      </c>
      <c r="H95" s="7">
        <f t="shared" si="1"/>
        <v>2.2780000000000002E-2</v>
      </c>
    </row>
    <row r="96" spans="2:8" ht="19" x14ac:dyDescent="0.25">
      <c r="B96" s="166">
        <v>43405</v>
      </c>
      <c r="C96" s="171">
        <f>(D96/D95-1)*12</f>
        <v>0.21431258158968181</v>
      </c>
      <c r="D96" s="278">
        <v>2760.17</v>
      </c>
      <c r="E96" s="172">
        <f>G96/100</f>
        <v>2.308E-2</v>
      </c>
      <c r="F96" s="1"/>
      <c r="G96" s="7">
        <v>2.3079999999999998</v>
      </c>
      <c r="H96" s="7">
        <f t="shared" si="1"/>
        <v>2.308E-2</v>
      </c>
    </row>
    <row r="97" spans="2:8" ht="19" x14ac:dyDescent="0.25">
      <c r="B97" s="168">
        <v>43435</v>
      </c>
      <c r="C97" s="93">
        <f>(D97/D96-1)*12</f>
        <v>-1.1013234692066081</v>
      </c>
      <c r="D97" s="278">
        <v>2506.85</v>
      </c>
      <c r="E97" s="94">
        <f>G97/100</f>
        <v>2.3E-2</v>
      </c>
      <c r="F97" s="1"/>
      <c r="G97" s="7">
        <v>2.2999999999999998</v>
      </c>
      <c r="H97" s="7">
        <f t="shared" si="1"/>
        <v>2.3E-2</v>
      </c>
    </row>
    <row r="98" spans="2:8" ht="19" x14ac:dyDescent="0.25">
      <c r="B98" s="166">
        <v>43466</v>
      </c>
      <c r="C98" s="171">
        <f>(D98/D97-1)*12</f>
        <v>0.9442128567724426</v>
      </c>
      <c r="D98" s="278">
        <v>2704.1</v>
      </c>
      <c r="E98" s="172">
        <f>G98/100</f>
        <v>2.3399999999999997E-2</v>
      </c>
      <c r="F98" s="1"/>
      <c r="G98" s="7">
        <v>2.34</v>
      </c>
      <c r="H98" s="7">
        <f t="shared" si="1"/>
        <v>2.3399999999999997E-2</v>
      </c>
    </row>
    <row r="99" spans="2:8" ht="19" x14ac:dyDescent="0.25">
      <c r="B99" s="168">
        <v>43497</v>
      </c>
      <c r="C99" s="93">
        <f>(D99/D98-1)*12</f>
        <v>0.35674716171739274</v>
      </c>
      <c r="D99" s="278">
        <v>2784.49</v>
      </c>
      <c r="E99" s="94">
        <f>G99/100</f>
        <v>2.383E-2</v>
      </c>
      <c r="F99" s="1"/>
      <c r="G99" s="7">
        <v>2.383</v>
      </c>
      <c r="H99" s="7">
        <f t="shared" si="1"/>
        <v>2.383E-2</v>
      </c>
    </row>
    <row r="100" spans="2:8" ht="19" x14ac:dyDescent="0.25">
      <c r="B100" s="166">
        <v>43525</v>
      </c>
      <c r="C100" s="173">
        <f>(D100/D99-1)*12</f>
        <v>0.21509145301294019</v>
      </c>
      <c r="D100" s="278">
        <v>2834.4</v>
      </c>
      <c r="E100" s="174">
        <f>G100/100</f>
        <v>2.3279999999999999E-2</v>
      </c>
      <c r="F100" s="1"/>
      <c r="G100" s="7">
        <v>2.3279999999999998</v>
      </c>
      <c r="H100" s="7">
        <f t="shared" si="1"/>
        <v>2.3279999999999999E-2</v>
      </c>
    </row>
    <row r="101" spans="2:8" ht="19" x14ac:dyDescent="0.25">
      <c r="B101" s="168">
        <v>43556</v>
      </c>
      <c r="C101" s="93">
        <f>(D101/D100-1)*12</f>
        <v>0.47176121930567216</v>
      </c>
      <c r="D101" s="278">
        <v>2945.83</v>
      </c>
      <c r="E101" s="94">
        <f>G101/100</f>
        <v>2.368E-2</v>
      </c>
      <c r="F101" s="1"/>
      <c r="G101" s="7">
        <v>2.3679999999999999</v>
      </c>
      <c r="H101" s="7">
        <f t="shared" si="1"/>
        <v>2.368E-2</v>
      </c>
    </row>
    <row r="102" spans="2:8" ht="19" x14ac:dyDescent="0.25">
      <c r="B102" s="166">
        <v>43586</v>
      </c>
      <c r="C102" s="171">
        <f>(D102/D101-1)*12</f>
        <v>-0.78933271777393843</v>
      </c>
      <c r="D102" s="278">
        <v>2752.06</v>
      </c>
      <c r="E102" s="172">
        <f>G102/100</f>
        <v>2.2930000000000002E-2</v>
      </c>
      <c r="F102" s="1"/>
      <c r="G102" s="7">
        <v>2.2930000000000001</v>
      </c>
      <c r="H102" s="7">
        <f t="shared" si="1"/>
        <v>2.2930000000000002E-2</v>
      </c>
    </row>
    <row r="103" spans="2:8" ht="19" x14ac:dyDescent="0.25">
      <c r="B103" s="168">
        <v>43617</v>
      </c>
      <c r="C103" s="93">
        <f>(D103/D102-1)*12</f>
        <v>0.82716219849857975</v>
      </c>
      <c r="D103" s="278">
        <v>2941.76</v>
      </c>
      <c r="E103" s="94">
        <f>G103/100</f>
        <v>2.035E-2</v>
      </c>
      <c r="F103" s="1"/>
      <c r="G103" s="7">
        <v>2.0350000000000001</v>
      </c>
      <c r="H103" s="7">
        <f t="shared" si="1"/>
        <v>2.035E-2</v>
      </c>
    </row>
    <row r="104" spans="2:8" ht="19" x14ac:dyDescent="0.25">
      <c r="B104" s="166">
        <v>43647</v>
      </c>
      <c r="C104" s="171">
        <f>(D104/D103-1)*12</f>
        <v>0.1575383443924725</v>
      </c>
      <c r="D104" s="278">
        <v>2980.38</v>
      </c>
      <c r="E104" s="172">
        <f>G104/100</f>
        <v>2.0299999999999999E-2</v>
      </c>
      <c r="F104" s="1"/>
      <c r="G104" s="7">
        <v>2.0299999999999998</v>
      </c>
      <c r="H104" s="7">
        <f t="shared" si="1"/>
        <v>2.0299999999999999E-2</v>
      </c>
    </row>
    <row r="105" spans="2:8" ht="19" x14ac:dyDescent="0.25">
      <c r="B105" s="168">
        <v>43678</v>
      </c>
      <c r="C105" s="93">
        <f>(D105/D104-1)*12</f>
        <v>-0.21709983290721313</v>
      </c>
      <c r="D105" s="278">
        <v>2926.46</v>
      </c>
      <c r="E105" s="94">
        <f>G105/100</f>
        <v>1.933E-2</v>
      </c>
      <c r="F105" s="1"/>
      <c r="G105" s="7">
        <v>1.9330000000000001</v>
      </c>
      <c r="H105" s="7">
        <f t="shared" si="1"/>
        <v>1.933E-2</v>
      </c>
    </row>
    <row r="106" spans="2:8" ht="18" x14ac:dyDescent="0.2">
      <c r="B106" s="166">
        <v>43709</v>
      </c>
      <c r="C106" s="170">
        <f>(D106/D105-1)*12</f>
        <v>0.20617401228788168</v>
      </c>
      <c r="D106" s="278">
        <v>2976.74</v>
      </c>
      <c r="E106" s="175">
        <f>G106/100</f>
        <v>1.77E-2</v>
      </c>
      <c r="F106" s="1"/>
      <c r="G106" s="7">
        <v>1.77</v>
      </c>
      <c r="H106" s="7">
        <f t="shared" si="1"/>
        <v>1.77E-2</v>
      </c>
    </row>
    <row r="107" spans="2:8" ht="19" x14ac:dyDescent="0.25">
      <c r="B107" s="168">
        <v>43739</v>
      </c>
      <c r="C107" s="93">
        <f>(D107/D106-1)*12</f>
        <v>0.24518096978573922</v>
      </c>
      <c r="D107" s="278">
        <v>3037.56</v>
      </c>
      <c r="E107" s="94">
        <f>G107/100</f>
        <v>1.498E-2</v>
      </c>
      <c r="F107" s="1"/>
      <c r="G107" s="7">
        <v>1.498</v>
      </c>
      <c r="H107" s="7">
        <f t="shared" si="1"/>
        <v>1.498E-2</v>
      </c>
    </row>
    <row r="108" spans="2:8" ht="19" x14ac:dyDescent="0.25">
      <c r="B108" s="166">
        <v>43770</v>
      </c>
      <c r="C108" s="173">
        <f>(D108/D107-1)*12</f>
        <v>0.40856476909098216</v>
      </c>
      <c r="D108" s="278">
        <v>3140.98</v>
      </c>
      <c r="E108" s="174">
        <f>G108/100</f>
        <v>1.54E-2</v>
      </c>
      <c r="F108" s="1"/>
      <c r="G108" s="7">
        <v>1.54</v>
      </c>
      <c r="H108" s="7">
        <f t="shared" si="1"/>
        <v>1.54E-2</v>
      </c>
    </row>
    <row r="109" spans="2:8" ht="19" x14ac:dyDescent="0.25">
      <c r="B109" s="168">
        <v>43800</v>
      </c>
      <c r="C109" s="93">
        <f>(D109/D108-1)*12</f>
        <v>0.34307763818935566</v>
      </c>
      <c r="D109" s="278">
        <v>3230.78</v>
      </c>
      <c r="E109" s="94">
        <f>G109/100</f>
        <v>1.5049999999999999E-2</v>
      </c>
      <c r="F109" s="1"/>
      <c r="G109" s="7">
        <v>1.5049999999999999</v>
      </c>
      <c r="H109" s="7">
        <f t="shared" si="1"/>
        <v>1.5049999999999999E-2</v>
      </c>
    </row>
    <row r="110" spans="2:8" ht="19" x14ac:dyDescent="0.25">
      <c r="B110" s="166">
        <v>43831</v>
      </c>
      <c r="C110" s="171">
        <f>(D110/D109-1)*12</f>
        <v>-1.9537077733551289E-2</v>
      </c>
      <c r="D110" s="278">
        <v>3225.52</v>
      </c>
      <c r="E110" s="172">
        <f>G110/100</f>
        <v>1.5100000000000001E-2</v>
      </c>
      <c r="F110" s="1"/>
      <c r="G110" s="7">
        <v>1.51</v>
      </c>
      <c r="H110" s="7">
        <f t="shared" si="1"/>
        <v>1.5100000000000001E-2</v>
      </c>
    </row>
    <row r="111" spans="2:8" ht="19" x14ac:dyDescent="0.25">
      <c r="B111" s="168">
        <v>43862</v>
      </c>
      <c r="C111" s="93">
        <f>(D111/D110-1)*12</f>
        <v>-1.0093256281157776</v>
      </c>
      <c r="D111" s="278">
        <v>2954.22</v>
      </c>
      <c r="E111" s="94">
        <f>G111/100</f>
        <v>1.23E-2</v>
      </c>
      <c r="F111" s="1"/>
      <c r="G111" s="7">
        <v>1.23</v>
      </c>
      <c r="H111" s="7">
        <f t="shared" si="1"/>
        <v>1.23E-2</v>
      </c>
    </row>
    <row r="112" spans="2:8" ht="19" x14ac:dyDescent="0.25">
      <c r="B112" s="166">
        <v>43891</v>
      </c>
      <c r="C112" s="171">
        <f>(D112/D111-1)*12</f>
        <v>-1.5014318500314787</v>
      </c>
      <c r="D112" s="278">
        <v>2584.59</v>
      </c>
      <c r="E112" s="172">
        <f>G112/100</f>
        <v>2.9999999999999997E-4</v>
      </c>
      <c r="F112" s="1"/>
      <c r="G112" s="7">
        <v>0.03</v>
      </c>
      <c r="H112" s="7">
        <f t="shared" si="1"/>
        <v>2.9999999999999997E-4</v>
      </c>
    </row>
    <row r="113" spans="2:8" ht="19" x14ac:dyDescent="0.25">
      <c r="B113" s="168">
        <v>43922</v>
      </c>
      <c r="C113" s="93">
        <f>(D113/D112-1)*12</f>
        <v>1.5221292351978448</v>
      </c>
      <c r="D113" s="278">
        <v>2912.43</v>
      </c>
      <c r="E113" s="94">
        <f>G113/100</f>
        <v>8.9999999999999998E-4</v>
      </c>
      <c r="F113" s="1"/>
      <c r="G113" s="7">
        <v>0.09</v>
      </c>
      <c r="H113" s="7">
        <f t="shared" si="1"/>
        <v>8.9999999999999998E-4</v>
      </c>
    </row>
    <row r="114" spans="2:8" ht="18" x14ac:dyDescent="0.2">
      <c r="B114" s="166">
        <v>43952</v>
      </c>
      <c r="C114" s="170">
        <f>(D114/D113-1)*12</f>
        <v>0.54338130015142116</v>
      </c>
      <c r="D114" s="278">
        <v>3044.31</v>
      </c>
      <c r="E114" s="175">
        <f>G114/100</f>
        <v>1.2800000000000001E-3</v>
      </c>
      <c r="F114" s="1"/>
      <c r="G114" s="7">
        <v>0.128</v>
      </c>
      <c r="H114" s="7">
        <f t="shared" si="1"/>
        <v>1.2800000000000001E-3</v>
      </c>
    </row>
    <row r="115" spans="2:8" ht="19" x14ac:dyDescent="0.25">
      <c r="B115" s="168">
        <v>43983</v>
      </c>
      <c r="C115" s="93">
        <f>(D115/D114-1)*12</f>
        <v>0.22066083940203196</v>
      </c>
      <c r="D115" s="278">
        <v>3100.29</v>
      </c>
      <c r="E115" s="94">
        <f>G115/100</f>
        <v>1.3500000000000001E-3</v>
      </c>
      <c r="F115" s="1"/>
      <c r="G115" s="7">
        <v>0.13500000000000001</v>
      </c>
      <c r="H115" s="7">
        <f t="shared" si="1"/>
        <v>1.3500000000000001E-3</v>
      </c>
    </row>
    <row r="116" spans="2:8" ht="19" x14ac:dyDescent="0.25">
      <c r="B116" s="166">
        <v>44013</v>
      </c>
      <c r="C116" s="173">
        <f>(D116/D115-1)*12</f>
        <v>0.66121556370533163</v>
      </c>
      <c r="D116" s="278">
        <v>3271.12</v>
      </c>
      <c r="E116" s="174">
        <f>G116/100</f>
        <v>8.3000000000000001E-4</v>
      </c>
      <c r="F116" s="1"/>
      <c r="G116" s="7">
        <v>8.3000000000000004E-2</v>
      </c>
      <c r="H116" s="7">
        <f t="shared" si="1"/>
        <v>8.3000000000000001E-4</v>
      </c>
    </row>
    <row r="117" spans="2:8" ht="19" x14ac:dyDescent="0.25">
      <c r="B117" s="168">
        <v>44044</v>
      </c>
      <c r="C117" s="93">
        <f>(D117/D116-1)*12</f>
        <v>0.84077624789063066</v>
      </c>
      <c r="D117" s="278">
        <v>3500.31</v>
      </c>
      <c r="E117" s="94">
        <f>G117/100</f>
        <v>9.5E-4</v>
      </c>
      <c r="F117" s="1"/>
      <c r="G117" s="7">
        <v>9.5000000000000001E-2</v>
      </c>
      <c r="H117" s="7">
        <f t="shared" si="1"/>
        <v>9.5E-4</v>
      </c>
    </row>
    <row r="118" spans="2:8" ht="19" x14ac:dyDescent="0.25">
      <c r="B118" s="166">
        <v>44075</v>
      </c>
      <c r="C118" s="171">
        <f>(D118/D117-1)*12</f>
        <v>-0.47073544914593279</v>
      </c>
      <c r="D118" s="278">
        <v>3363</v>
      </c>
      <c r="E118" s="172">
        <f>G118/100</f>
        <v>8.5000000000000006E-4</v>
      </c>
      <c r="F118" s="1"/>
      <c r="G118" s="7">
        <v>8.5000000000000006E-2</v>
      </c>
      <c r="H118" s="7">
        <f t="shared" si="1"/>
        <v>8.5000000000000006E-4</v>
      </c>
    </row>
    <row r="119" spans="2:8" ht="19" x14ac:dyDescent="0.25">
      <c r="B119" s="168">
        <v>44105</v>
      </c>
      <c r="C119" s="93">
        <f>(D119/D118-1)*12</f>
        <v>-0.33198929527207799</v>
      </c>
      <c r="D119" s="278">
        <v>3269.96</v>
      </c>
      <c r="E119" s="94">
        <f>G119/100</f>
        <v>8.3000000000000001E-4</v>
      </c>
      <c r="F119" s="1"/>
      <c r="G119" s="7">
        <v>8.3000000000000004E-2</v>
      </c>
      <c r="H119" s="7">
        <f t="shared" si="1"/>
        <v>8.3000000000000001E-4</v>
      </c>
    </row>
    <row r="120" spans="2:8" ht="19" x14ac:dyDescent="0.25">
      <c r="B120" s="166">
        <v>44136</v>
      </c>
      <c r="C120" s="171">
        <f>(D120/D119-1)*12</f>
        <v>1.2905478966103576</v>
      </c>
      <c r="D120" s="278">
        <v>3621.63</v>
      </c>
      <c r="E120" s="172">
        <f>G120/100</f>
        <v>7.5000000000000002E-4</v>
      </c>
      <c r="F120" s="1"/>
      <c r="G120" s="7">
        <v>7.4999999999999997E-2</v>
      </c>
      <c r="H120" s="7">
        <f t="shared" si="1"/>
        <v>7.5000000000000002E-4</v>
      </c>
    </row>
    <row r="121" spans="2:8" ht="20" thickBot="1" x14ac:dyDescent="0.3">
      <c r="B121" s="169">
        <v>44166</v>
      </c>
      <c r="C121" s="176">
        <f>(D121/D120-1)*12</f>
        <v>0.44545687991318772</v>
      </c>
      <c r="D121" s="279">
        <v>3756.07</v>
      </c>
      <c r="E121" s="177">
        <f>G121/100</f>
        <v>6.4999999999999997E-4</v>
      </c>
      <c r="F121" s="1"/>
      <c r="G121" s="7">
        <v>6.5000000000000002E-2</v>
      </c>
      <c r="H121" s="7">
        <f t="shared" si="1"/>
        <v>6.4999999999999997E-4</v>
      </c>
    </row>
    <row r="122" spans="2:8" ht="17" thickBot="1" x14ac:dyDescent="0.25">
      <c r="F122" s="1"/>
      <c r="G122" s="7">
        <f>AVERAGE(G2:G121)</f>
        <v>0.57166666666666677</v>
      </c>
      <c r="H122" s="7">
        <f>AVERAGE(H2:H121)</f>
        <v>5.7166666666666659E-3</v>
      </c>
    </row>
    <row r="123" spans="2:8" ht="20" thickBot="1" x14ac:dyDescent="0.25">
      <c r="C123" s="178" t="s">
        <v>64</v>
      </c>
      <c r="D123" s="179" t="s">
        <v>64</v>
      </c>
      <c r="E123" s="178" t="s">
        <v>144</v>
      </c>
    </row>
    <row r="124" spans="2:8" ht="22" thickBot="1" x14ac:dyDescent="0.25">
      <c r="B124" s="181" t="s">
        <v>37</v>
      </c>
      <c r="C124" s="182">
        <f>AVERAGE(C3:C121)</f>
        <v>0.11773077209770896</v>
      </c>
      <c r="D124" s="183">
        <f>AVERAGE(D3:D121)</f>
        <v>2185.518739495797</v>
      </c>
      <c r="E124" s="184">
        <f>AVERAGE(E3:E121)</f>
        <v>5.7525210084033614E-3</v>
      </c>
    </row>
    <row r="125" spans="2:8" ht="22" thickBot="1" x14ac:dyDescent="0.25">
      <c r="B125" s="181" t="s">
        <v>66</v>
      </c>
      <c r="C125" s="184">
        <f>_xlfn.STDEV.S(C3:C121)</f>
        <v>0.47068852681182832</v>
      </c>
      <c r="D125" s="185">
        <f>_xlfn.STDEV.S(D3:D121)</f>
        <v>633.74752084101328</v>
      </c>
      <c r="E125" s="184"/>
    </row>
  </sheetData>
  <sortState xmlns:xlrd2="http://schemas.microsoft.com/office/spreadsheetml/2017/richdata2" ref="C2:D121">
    <sortCondition ref="C2:C12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A72E6-AF46-224F-B354-667A5BFB5265}">
  <dimension ref="A1:Y146"/>
  <sheetViews>
    <sheetView showGridLines="0" topLeftCell="G1" workbookViewId="0">
      <selection activeCell="Y13" sqref="Y13"/>
    </sheetView>
  </sheetViews>
  <sheetFormatPr baseColWidth="10" defaultRowHeight="16" x14ac:dyDescent="0.2"/>
  <cols>
    <col min="7" max="7" width="11.1640625" customWidth="1"/>
    <col min="25" max="25" width="11.5" customWidth="1"/>
  </cols>
  <sheetData>
    <row r="1" spans="1:25" ht="22" thickBot="1" x14ac:dyDescent="0.3">
      <c r="S1" s="63" t="s">
        <v>108</v>
      </c>
      <c r="T1" s="64"/>
      <c r="U1" s="65"/>
      <c r="W1" s="63" t="s">
        <v>109</v>
      </c>
      <c r="X1" s="64"/>
      <c r="Y1" s="65"/>
    </row>
    <row r="2" spans="1:25" ht="69" thickBot="1" x14ac:dyDescent="0.25">
      <c r="A2" s="49" t="s">
        <v>0</v>
      </c>
      <c r="B2" s="40" t="s">
        <v>110</v>
      </c>
      <c r="C2" s="41" t="s">
        <v>68</v>
      </c>
      <c r="D2" s="41" t="s">
        <v>69</v>
      </c>
      <c r="E2" s="41" t="s">
        <v>70</v>
      </c>
      <c r="F2" s="41" t="s">
        <v>71</v>
      </c>
      <c r="G2" s="41" t="s">
        <v>72</v>
      </c>
      <c r="H2" s="41" t="s">
        <v>73</v>
      </c>
      <c r="I2" s="41" t="s">
        <v>74</v>
      </c>
      <c r="J2" s="41" t="s">
        <v>75</v>
      </c>
      <c r="K2" s="41" t="s">
        <v>76</v>
      </c>
      <c r="L2" s="42" t="s">
        <v>77</v>
      </c>
      <c r="N2" s="49" t="s">
        <v>41</v>
      </c>
      <c r="O2" s="49" t="s">
        <v>78</v>
      </c>
      <c r="P2" s="49" t="s">
        <v>8</v>
      </c>
      <c r="Q2" s="52" t="s">
        <v>79</v>
      </c>
      <c r="R2" s="4"/>
      <c r="S2" s="52" t="s">
        <v>37</v>
      </c>
      <c r="T2" s="52" t="s">
        <v>80</v>
      </c>
      <c r="U2" s="52" t="s">
        <v>81</v>
      </c>
      <c r="V2" s="6"/>
      <c r="W2" s="52" t="s">
        <v>82</v>
      </c>
      <c r="X2" s="52" t="s">
        <v>83</v>
      </c>
      <c r="Y2" s="52" t="s">
        <v>84</v>
      </c>
    </row>
    <row r="3" spans="1:25" ht="19" x14ac:dyDescent="0.25">
      <c r="A3" s="47">
        <v>40575</v>
      </c>
      <c r="B3" s="187">
        <f>Sheet6!C3-Sheet6!E3</f>
        <v>0.38212899107392889</v>
      </c>
      <c r="C3" s="187">
        <f>Sheet2!B2-Sheet6!$E3</f>
        <v>9.807191935186821E-4</v>
      </c>
      <c r="D3" s="187">
        <f>Sheet2!C2-Sheet6!$E3</f>
        <v>0.55050564280426739</v>
      </c>
      <c r="E3" s="187">
        <f>Sheet2!D2-Sheet6!$E3</f>
        <v>0.87226677344205106</v>
      </c>
      <c r="F3" s="187">
        <f>Sheet2!E2-Sheet6!$E3</f>
        <v>0.37793601554486894</v>
      </c>
      <c r="G3" s="187">
        <f>Sheet2!F2-Sheet6!$E3</f>
        <v>0.4880848063342475</v>
      </c>
      <c r="H3" s="187">
        <f>Sheet2!G2-Sheet6!$E3</f>
        <v>-0.4990074134596823</v>
      </c>
      <c r="I3" s="187">
        <f>Sheet2!H2-Sheet6!$E3</f>
        <v>0.21208854758427573</v>
      </c>
      <c r="J3" s="187">
        <f>Sheet2!I2-Sheet6!$E3</f>
        <v>-0.97476634326011657</v>
      </c>
      <c r="K3" s="187">
        <f>Sheet2!J2-Sheet6!$E3</f>
        <v>-0.87668473718982876</v>
      </c>
      <c r="L3" s="188">
        <f>Sheet2!K2-Sheet6!$E3</f>
        <v>0.95160633266454608</v>
      </c>
      <c r="N3" s="53" t="s">
        <v>3</v>
      </c>
      <c r="O3" s="56">
        <f>Regressions!B17</f>
        <v>7.6098899240517257E-2</v>
      </c>
      <c r="P3" s="57">
        <f>Regressions!B18</f>
        <v>1.094962756436229</v>
      </c>
      <c r="Q3" s="44">
        <f>Regressions!H13</f>
        <v>0.44846482206155258</v>
      </c>
      <c r="S3" s="60">
        <f>Sheet2!B123</f>
        <v>0.20446343472257486</v>
      </c>
      <c r="T3" s="56">
        <f>Sheet6!$E$124+Sheet7!P3*(Sheet6!$C$124-Sheet6!$E$124)</f>
        <v>0.12836453548205759</v>
      </c>
      <c r="U3" s="44">
        <f>S3-T3</f>
        <v>7.609889924051727E-2</v>
      </c>
      <c r="W3" s="60">
        <f>Sheet2!B124^2</f>
        <v>0.46514684014425817</v>
      </c>
      <c r="X3" s="43">
        <f>P3^2*Sheet6!$C$125^2</f>
        <v>0.26562314825318034</v>
      </c>
      <c r="Y3" s="44">
        <f>W3-X3</f>
        <v>0.19952369189107783</v>
      </c>
    </row>
    <row r="4" spans="1:25" ht="19" x14ac:dyDescent="0.25">
      <c r="A4" s="47">
        <v>40603</v>
      </c>
      <c r="B4" s="189">
        <f>Sheet6!C4-Sheet6!E4</f>
        <v>-1.3467622549390034E-2</v>
      </c>
      <c r="C4" s="189">
        <f>Sheet2!B3-Sheet6!$E4</f>
        <v>0.81261939053190047</v>
      </c>
      <c r="D4" s="189">
        <f>Sheet2!C3-Sheet6!$E4</f>
        <v>1.4974739980571214</v>
      </c>
      <c r="E4" s="189">
        <f>Sheet2!D3-Sheet6!$E4</f>
        <v>-1.6328218241042365</v>
      </c>
      <c r="F4" s="189">
        <f>Sheet2!E3-Sheet6!$E4</f>
        <v>-7.152845237839088E-2</v>
      </c>
      <c r="G4" s="189">
        <f>Sheet2!F3-Sheet6!$E4</f>
        <v>-0.80705767957328278</v>
      </c>
      <c r="H4" s="189">
        <f>Sheet2!G3-Sheet6!$E4</f>
        <v>-0.47039264939746361</v>
      </c>
      <c r="I4" s="189">
        <f>Sheet2!H3-Sheet6!$E4</f>
        <v>0.55580786449460418</v>
      </c>
      <c r="J4" s="189">
        <f>Sheet2!I3-Sheet6!$E4</f>
        <v>-0.89562184375389309</v>
      </c>
      <c r="K4" s="189">
        <f>Sheet2!J3-Sheet6!$E4</f>
        <v>1.5261800301904173E-2</v>
      </c>
      <c r="L4" s="190">
        <f>Sheet2!K3-Sheet6!$E4</f>
        <v>-1.7975952241037001</v>
      </c>
      <c r="N4" s="54" t="s">
        <v>6</v>
      </c>
      <c r="O4" s="23">
        <f>Regressions!K17</f>
        <v>0.13849955726998134</v>
      </c>
      <c r="P4" s="58">
        <f>Regressions!K18</f>
        <v>0.79565734178748948</v>
      </c>
      <c r="Q4" s="16">
        <f>Regressions!Q13</f>
        <v>0.62597388620079564</v>
      </c>
      <c r="S4" s="61">
        <f>Sheet2!C123</f>
        <v>0.23334839587811365</v>
      </c>
      <c r="T4" s="23">
        <f>Sheet6!$E$124+Sheet7!P4*(Sheet6!$C$124-Sheet6!$E$124)</f>
        <v>9.4848838608132299E-2</v>
      </c>
      <c r="U4" s="16">
        <f t="shared" ref="U4:U12" si="0">S4-T4</f>
        <v>0.13849955726998137</v>
      </c>
      <c r="W4" s="61">
        <f>Sheet2!C124^2</f>
        <v>0.52862728830397665</v>
      </c>
      <c r="X4" s="15">
        <f>P4^2*Sheet6!$C$125^2</f>
        <v>0.14025532980366989</v>
      </c>
      <c r="Y4" s="16">
        <f t="shared" ref="Y4:Y12" si="1">W4-X4</f>
        <v>0.38837195850030676</v>
      </c>
    </row>
    <row r="5" spans="1:25" ht="19" x14ac:dyDescent="0.25">
      <c r="A5" s="47">
        <v>40634</v>
      </c>
      <c r="B5" s="187">
        <f>Sheet6!C5-Sheet6!E5</f>
        <v>0.34154429150041826</v>
      </c>
      <c r="C5" s="187">
        <f>Sheet2!B4-Sheet6!$E5</f>
        <v>0.47112948668361548</v>
      </c>
      <c r="D5" s="187">
        <f>Sheet2!C4-Sheet6!$E5</f>
        <v>-0.24397553080120199</v>
      </c>
      <c r="E5" s="187">
        <f>Sheet2!D4-Sheet6!$E5</f>
        <v>-1.3274503298774727</v>
      </c>
      <c r="F5" s="187">
        <f>Sheet2!E4-Sheet6!$E5</f>
        <v>0.36178821453142168</v>
      </c>
      <c r="G5" s="187">
        <f>Sheet2!F4-Sheet6!$E5</f>
        <v>-0.93769257623918323</v>
      </c>
      <c r="H5" s="187">
        <f>Sheet2!G4-Sheet6!$E5</f>
        <v>0.25009191785771362</v>
      </c>
      <c r="I5" s="187">
        <f>Sheet2!H4-Sheet6!$E5</f>
        <v>1.1518298209559283</v>
      </c>
      <c r="J5" s="187">
        <f>Sheet2!I4-Sheet6!$E5</f>
        <v>0.4095246909036358</v>
      </c>
      <c r="K5" s="187">
        <f>Sheet2!J4-Sheet6!$E5</f>
        <v>0.76394889312435765</v>
      </c>
      <c r="L5" s="188">
        <f>Sheet2!K4-Sheet6!$E5</f>
        <v>1.0949620013437231</v>
      </c>
      <c r="N5" s="54" t="s">
        <v>10</v>
      </c>
      <c r="O5" s="56">
        <f>Regressions!T17</f>
        <v>2.1238075191163719E-2</v>
      </c>
      <c r="P5" s="57">
        <f>Regressions!T18</f>
        <v>1.2489664712183419</v>
      </c>
      <c r="Q5" s="44">
        <f>Regressions!Z13</f>
        <v>1.0378296424945508</v>
      </c>
      <c r="S5" s="60">
        <f>Sheet2!D123</f>
        <v>0.16684767731577851</v>
      </c>
      <c r="T5" s="56">
        <f>Sheet6!$E$124+Sheet7!P5*(Sheet6!$C$124-Sheet6!$E$124)</f>
        <v>0.14560960212461485</v>
      </c>
      <c r="U5" s="44">
        <f t="shared" si="0"/>
        <v>2.1238075191163663E-2</v>
      </c>
      <c r="W5" s="60">
        <f>Sheet2!D124^2</f>
        <v>1.4145309648093189</v>
      </c>
      <c r="X5" s="43">
        <f>P5^2*Sheet6!$C$125^2</f>
        <v>0.34559606135771687</v>
      </c>
      <c r="Y5" s="44">
        <f t="shared" si="1"/>
        <v>1.068934903451602</v>
      </c>
    </row>
    <row r="6" spans="1:25" ht="19" x14ac:dyDescent="0.25">
      <c r="A6" s="47">
        <v>40664</v>
      </c>
      <c r="B6" s="189">
        <f>Sheet6!C6-Sheet6!E6</f>
        <v>-0.16241113221522113</v>
      </c>
      <c r="C6" s="189">
        <f>Sheet2!B5-Sheet6!$E6</f>
        <v>0.15214501935050867</v>
      </c>
      <c r="D6" s="189">
        <f>Sheet2!C5-Sheet6!$E6</f>
        <v>0.19518187694244377</v>
      </c>
      <c r="E6" s="189">
        <f>Sheet2!D5-Sheet6!$E6</f>
        <v>-0.66588882605047228</v>
      </c>
      <c r="F6" s="189">
        <f>Sheet2!E5-Sheet6!$E6</f>
        <v>-0.14664806502700106</v>
      </c>
      <c r="G6" s="189">
        <f>Sheet2!F5-Sheet6!$E6</f>
        <v>-0.51831648844633849</v>
      </c>
      <c r="H6" s="189">
        <f>Sheet2!G5-Sheet6!$E6</f>
        <v>-0.42170000203554997</v>
      </c>
      <c r="I6" s="189">
        <f>Sheet2!H5-Sheet6!$E6</f>
        <v>0.49214021919962908</v>
      </c>
      <c r="J6" s="189">
        <f>Sheet2!I5-Sheet6!$E6</f>
        <v>-0.10510395358339379</v>
      </c>
      <c r="K6" s="189">
        <f>Sheet2!J5-Sheet6!$E6</f>
        <v>5.1984999485017405E-2</v>
      </c>
      <c r="L6" s="190">
        <f>Sheet2!K5-Sheet6!$E6</f>
        <v>0.3100944850900777</v>
      </c>
      <c r="M6" s="12"/>
      <c r="N6" s="54" t="s">
        <v>13</v>
      </c>
      <c r="O6" s="23">
        <f>Regressions!B35</f>
        <v>7.2485591616806358E-2</v>
      </c>
      <c r="P6" s="58">
        <f>Regressions!B36</f>
        <v>1.0646978821756119</v>
      </c>
      <c r="Q6" s="16">
        <f>Regressions!H31</f>
        <v>0.22461323543262748</v>
      </c>
      <c r="S6" s="61">
        <f>Sheet2!E123</f>
        <v>0.19746111940972205</v>
      </c>
      <c r="T6" s="23">
        <f>Sheet6!$E$124+Sheet7!P6*(Sheet6!$C$124-Sheet6!$E$124)</f>
        <v>0.12497552779291594</v>
      </c>
      <c r="U6" s="16">
        <f t="shared" si="0"/>
        <v>7.2485591616806108E-2</v>
      </c>
      <c r="W6" s="61">
        <f>Sheet2!E124^2</f>
        <v>0.30116506161531897</v>
      </c>
      <c r="X6" s="15">
        <f>P6^2*Sheet6!$C$125^2</f>
        <v>0.25114237971914055</v>
      </c>
      <c r="Y6" s="16">
        <f t="shared" si="1"/>
        <v>5.0022681896178423E-2</v>
      </c>
    </row>
    <row r="7" spans="1:25" ht="19" x14ac:dyDescent="0.25">
      <c r="A7" s="47">
        <v>40695</v>
      </c>
      <c r="B7" s="187">
        <f>Sheet6!C7-Sheet6!E7</f>
        <v>-0.21924009812667258</v>
      </c>
      <c r="C7" s="187">
        <f>Sheet2!B6-Sheet6!$E7</f>
        <v>0.63340982070386131</v>
      </c>
      <c r="D7" s="187">
        <f>Sheet2!C6-Sheet6!$E7</f>
        <v>0.92652569261858952</v>
      </c>
      <c r="E7" s="187">
        <f>Sheet2!D6-Sheet6!$E7</f>
        <v>-0.15721851159311875</v>
      </c>
      <c r="F7" s="187">
        <f>Sheet2!E6-Sheet6!$E7</f>
        <v>-0.26950821610489706</v>
      </c>
      <c r="G7" s="187">
        <f>Sheet2!F6-Sheet6!$E7</f>
        <v>-0.80695844600170241</v>
      </c>
      <c r="H7" s="187">
        <f>Sheet2!G6-Sheet6!$E7</f>
        <v>0.5566347160131585</v>
      </c>
      <c r="I7" s="187">
        <f>Sheet2!H6-Sheet6!$E7</f>
        <v>0.59723597902106162</v>
      </c>
      <c r="J7" s="187">
        <f>Sheet2!I6-Sheet6!$E7</f>
        <v>-0.54714683568746636</v>
      </c>
      <c r="K7" s="187">
        <f>Sheet2!J6-Sheet6!$E7</f>
        <v>-0.37575805374425941</v>
      </c>
      <c r="L7" s="188">
        <f>Sheet2!K6-Sheet6!$E7</f>
        <v>0.78564089412978222</v>
      </c>
      <c r="N7" s="54" t="s">
        <v>16</v>
      </c>
      <c r="O7" s="56">
        <f>Regressions!K35</f>
        <v>-4.3114631006557963E-2</v>
      </c>
      <c r="P7" s="57">
        <f>Regressions!K36</f>
        <v>1.6400664530290257</v>
      </c>
      <c r="Q7" s="44">
        <f>Regressions!Q31</f>
        <v>0.83165528104732755</v>
      </c>
      <c r="S7" s="60">
        <f>Sheet2!F123</f>
        <v>0.14628966308227639</v>
      </c>
      <c r="T7" s="56">
        <f>Sheet6!$E$124+Sheet7!P7*(Sheet6!$C$124-Sheet6!$E$124)</f>
        <v>0.18940429408883444</v>
      </c>
      <c r="U7" s="44">
        <f t="shared" si="0"/>
        <v>-4.3114631006558046E-2</v>
      </c>
      <c r="W7" s="60">
        <f>Sheet2!F124^2</f>
        <v>1.2824392774398441</v>
      </c>
      <c r="X7" s="43">
        <f>P7^2*Sheet6!$C$125^2</f>
        <v>0.59592295589438937</v>
      </c>
      <c r="Y7" s="44">
        <f t="shared" si="1"/>
        <v>0.68651632154545472</v>
      </c>
    </row>
    <row r="8" spans="1:25" ht="19" x14ac:dyDescent="0.25">
      <c r="A8" s="47">
        <v>40725</v>
      </c>
      <c r="B8" s="189">
        <f>Sheet6!C8-Sheet6!E8</f>
        <v>-0.25859323964138736</v>
      </c>
      <c r="C8" s="189">
        <f>Sheet2!B7-Sheet6!$E8</f>
        <v>-0.25511826885889233</v>
      </c>
      <c r="D8" s="189">
        <f>Sheet2!C7-Sheet6!$E8</f>
        <v>0.18142274475478148</v>
      </c>
      <c r="E8" s="189">
        <f>Sheet2!D7-Sheet6!$E8</f>
        <v>-0.58748539547500467</v>
      </c>
      <c r="F8" s="189">
        <f>Sheet2!E7-Sheet6!$E8</f>
        <v>0.22628195588174072</v>
      </c>
      <c r="G8" s="189">
        <f>Sheet2!F7-Sheet6!$E8</f>
        <v>-1.3604578724506331</v>
      </c>
      <c r="H8" s="189">
        <f>Sheet2!G7-Sheet6!$E8</f>
        <v>0.6452536339746523</v>
      </c>
      <c r="I8" s="189">
        <f>Sheet2!H7-Sheet6!$E8</f>
        <v>7.5157794310651518E-2</v>
      </c>
      <c r="J8" s="189">
        <f>Sheet2!I7-Sheet6!$E8</f>
        <v>-1.0601903311506986</v>
      </c>
      <c r="K8" s="189">
        <f>Sheet2!J7-Sheet6!$E8</f>
        <v>-9.8001314401894621E-2</v>
      </c>
      <c r="L8" s="190">
        <f>Sheet2!K7-Sheet6!$E8</f>
        <v>6.7313704903334007E-2</v>
      </c>
      <c r="N8" s="54" t="s">
        <v>19</v>
      </c>
      <c r="O8" s="23">
        <f>Regressions!T35</f>
        <v>0.15186763347334692</v>
      </c>
      <c r="P8" s="58">
        <f>Regressions!T36</f>
        <v>0.86910928546438548</v>
      </c>
      <c r="Q8" s="16">
        <f>Regressions!Z31</f>
        <v>0.56624652595609404</v>
      </c>
      <c r="S8" s="61">
        <f>Sheet2!G123</f>
        <v>0.25494149227352808</v>
      </c>
      <c r="T8" s="23">
        <f>Sheet6!$E$124+Sheet7!P8*(Sheet6!$C$124-Sheet6!$E$124)</f>
        <v>0.1030738588001813</v>
      </c>
      <c r="U8" s="16">
        <f t="shared" si="0"/>
        <v>0.15186763347334678</v>
      </c>
      <c r="W8" s="61">
        <f>Sheet2!G124^2</f>
        <v>0.48624011509340742</v>
      </c>
      <c r="X8" s="15">
        <f>P8^2*Sheet6!$C$125^2</f>
        <v>0.16734625757994417</v>
      </c>
      <c r="Y8" s="16">
        <f t="shared" si="1"/>
        <v>0.31889385751346322</v>
      </c>
    </row>
    <row r="9" spans="1:25" ht="19" x14ac:dyDescent="0.25">
      <c r="A9" s="47">
        <v>40756</v>
      </c>
      <c r="B9" s="187">
        <f>Sheet6!C9-Sheet6!E9</f>
        <v>-0.68164317485374537</v>
      </c>
      <c r="C9" s="187">
        <f>Sheet2!B8-Sheet6!$E9</f>
        <v>-1.1262887829713004</v>
      </c>
      <c r="D9" s="187">
        <f>Sheet2!C8-Sheet6!$E9</f>
        <v>-0.44015491079005142</v>
      </c>
      <c r="E9" s="187">
        <f>Sheet2!D8-Sheet6!$E9</f>
        <v>-1.5061256175298805</v>
      </c>
      <c r="F9" s="187">
        <f>Sheet2!E8-Sheet6!$E9</f>
        <v>-0.60842569615479325</v>
      </c>
      <c r="G9" s="187">
        <f>Sheet2!F8-Sheet6!$E9</f>
        <v>-1.9033421863218245</v>
      </c>
      <c r="H9" s="187">
        <f>Sheet2!G8-Sheet6!$E9</f>
        <v>-0.35051532172349897</v>
      </c>
      <c r="I9" s="187">
        <f>Sheet2!H8-Sheet6!$E9</f>
        <v>1.0531085144036862</v>
      </c>
      <c r="J9" s="187">
        <f>Sheet2!I8-Sheet6!$E9</f>
        <v>-1.582518789163986</v>
      </c>
      <c r="K9" s="187">
        <f>Sheet2!J8-Sheet6!$E9</f>
        <v>0.109125316124549</v>
      </c>
      <c r="L9" s="188">
        <f>Sheet2!K8-Sheet6!$E9</f>
        <v>-0.46604570138370638</v>
      </c>
      <c r="N9" s="54" t="s">
        <v>22</v>
      </c>
      <c r="O9" s="56">
        <f>Regressions!B53</f>
        <v>0.17746334872445491</v>
      </c>
      <c r="P9" s="57">
        <f>Regressions!B54</f>
        <v>1.0765828740170296</v>
      </c>
      <c r="Q9" s="44">
        <f>Regressions!H49</f>
        <v>0.51703894915061221</v>
      </c>
      <c r="S9" s="60">
        <f>Sheet2!H123</f>
        <v>0.30376973711798344</v>
      </c>
      <c r="T9" s="56">
        <f>Sheet6!$E$124+Sheet7!P9*(Sheet6!$C$124-Sheet6!$E$124)</f>
        <v>0.12630638839352856</v>
      </c>
      <c r="U9" s="44">
        <f t="shared" si="0"/>
        <v>0.17746334872445488</v>
      </c>
      <c r="W9" s="60">
        <f>Sheet2!H124^2</f>
        <v>0.52248999701744392</v>
      </c>
      <c r="X9" s="43">
        <f>P9^2*Sheet6!$C$125^2</f>
        <v>0.25678056997473969</v>
      </c>
      <c r="Y9" s="44">
        <f t="shared" si="1"/>
        <v>0.26570942704270423</v>
      </c>
    </row>
    <row r="10" spans="1:25" ht="19" x14ac:dyDescent="0.25">
      <c r="A10" s="47">
        <v>40787</v>
      </c>
      <c r="B10" s="189">
        <f>Sheet6!C10-Sheet6!E10</f>
        <v>-0.86124415574826352</v>
      </c>
      <c r="C10" s="189">
        <f>Sheet2!B9-Sheet6!$E10</f>
        <v>-0.20387519596632786</v>
      </c>
      <c r="D10" s="189">
        <f>Sheet2!C9-Sheet6!$E10</f>
        <v>-0.37219662739823245</v>
      </c>
      <c r="E10" s="189">
        <f>Sheet2!D9-Sheet6!$E10</f>
        <v>-1.6128567374598293</v>
      </c>
      <c r="F10" s="189">
        <f>Sheet2!E9-Sheet6!$E10</f>
        <v>-0.5602163565405196</v>
      </c>
      <c r="G10" s="189">
        <f>Sheet2!F9-Sheet6!$E10</f>
        <v>-3.0000315810144458</v>
      </c>
      <c r="H10" s="189">
        <f>Sheet2!G9-Sheet6!$E10</f>
        <v>-0.70065710280329996</v>
      </c>
      <c r="I10" s="189">
        <f>Sheet2!H9-Sheet6!$E10</f>
        <v>-0.45686735096152087</v>
      </c>
      <c r="J10" s="189">
        <f>Sheet2!I9-Sheet6!$E10</f>
        <v>-1.9226960254003773</v>
      </c>
      <c r="K10" s="189">
        <f>Sheet2!J9-Sheet6!$E10</f>
        <v>-0.20641986664330969</v>
      </c>
      <c r="L10" s="190">
        <f>Sheet2!K9-Sheet6!$E10</f>
        <v>-0.15796952423393384</v>
      </c>
      <c r="N10" s="54" t="s">
        <v>25</v>
      </c>
      <c r="O10" s="23">
        <f>Regressions!K53</f>
        <v>-9.0260653962074056E-2</v>
      </c>
      <c r="P10" s="58">
        <f>Regressions!K54</f>
        <v>1.5447431383617443</v>
      </c>
      <c r="Q10" s="16">
        <f>Regressions!Q49</f>
        <v>0.81745674949558111</v>
      </c>
      <c r="S10" s="61">
        <f>Sheet2!I123</f>
        <v>8.8469502062282657E-2</v>
      </c>
      <c r="T10" s="23">
        <f>Sheet6!$E$124+Sheet7!P10*(Sheet6!$C$124-Sheet6!$E$124)</f>
        <v>0.17873015602435671</v>
      </c>
      <c r="U10" s="16">
        <f t="shared" si="0"/>
        <v>-9.0260653962074056E-2</v>
      </c>
      <c r="W10" s="61">
        <f>Sheet2!I124^2</f>
        <v>1.191500675328762</v>
      </c>
      <c r="X10" s="15">
        <f>P10^2*Sheet6!$C$125^2</f>
        <v>0.52866404465596539</v>
      </c>
      <c r="Y10" s="16">
        <f t="shared" si="1"/>
        <v>0.66283663067279663</v>
      </c>
    </row>
    <row r="11" spans="1:25" ht="19" x14ac:dyDescent="0.25">
      <c r="A11" s="47">
        <v>40817</v>
      </c>
      <c r="B11" s="187">
        <f>Sheet6!C11-Sheet6!E11</f>
        <v>1.2926264596701473</v>
      </c>
      <c r="C11" s="187">
        <f>Sheet2!B10-Sheet6!$E11</f>
        <v>1.7266026376142756</v>
      </c>
      <c r="D11" s="187">
        <f>Sheet2!C10-Sheet6!$E11</f>
        <v>1.6314910277340642</v>
      </c>
      <c r="E11" s="187">
        <f>Sheet2!D10-Sheet6!$E11</f>
        <v>1.2441598947368433</v>
      </c>
      <c r="F11" s="187">
        <f>Sheet2!E10-Sheet6!$E11</f>
        <v>1.2727572612412226</v>
      </c>
      <c r="G11" s="187">
        <f>Sheet2!F10-Sheet6!$E11</f>
        <v>1.3921093464660739</v>
      </c>
      <c r="H11" s="187">
        <f>Sheet2!G10-Sheet6!$E11</f>
        <v>0.83884118132647678</v>
      </c>
      <c r="I11" s="187">
        <f>Sheet2!H10-Sheet6!$E11</f>
        <v>1.1380518660407357</v>
      </c>
      <c r="J11" s="187">
        <f>Sheet2!I10-Sheet6!$E11</f>
        <v>3.3716011344041981</v>
      </c>
      <c r="K11" s="187">
        <f>Sheet2!J10-Sheet6!$E11</f>
        <v>1.1143907296813873</v>
      </c>
      <c r="L11" s="188">
        <f>Sheet2!K10-Sheet6!$E11</f>
        <v>1.5697221400965746</v>
      </c>
      <c r="N11" s="54" t="s">
        <v>28</v>
      </c>
      <c r="O11" s="56">
        <f>Regressions!T53</f>
        <v>8.6974455293120853E-2</v>
      </c>
      <c r="P11" s="57">
        <f>Regressions!T54</f>
        <v>0.37324722551615763</v>
      </c>
      <c r="Q11" s="44">
        <f>Regressions!Z49</f>
        <v>0.57293870725252605</v>
      </c>
      <c r="S11" s="60">
        <f>Sheet2!J123</f>
        <v>0.13452254783875922</v>
      </c>
      <c r="T11" s="56">
        <f>Sheet6!$E$124+Sheet7!P11*(Sheet6!$C$124-Sheet6!$E$124)</f>
        <v>4.754809254563834E-2</v>
      </c>
      <c r="U11" s="44">
        <f t="shared" si="0"/>
        <v>8.6974455293120881E-2</v>
      </c>
      <c r="W11" s="60">
        <f>Sheet2!J124^2</f>
        <v>0.35672341881906999</v>
      </c>
      <c r="X11" s="43">
        <f>P11^2*Sheet6!$C$125^2</f>
        <v>3.0864582094268157E-2</v>
      </c>
      <c r="Y11" s="44">
        <f t="shared" si="1"/>
        <v>0.32585883672480181</v>
      </c>
    </row>
    <row r="12" spans="1:25" ht="20" thickBot="1" x14ac:dyDescent="0.3">
      <c r="A12" s="47">
        <v>40848</v>
      </c>
      <c r="B12" s="189">
        <f>Sheet6!C12-Sheet6!E12</f>
        <v>-6.0853742120800539E-2</v>
      </c>
      <c r="C12" s="189">
        <f>Sheet2!B11-Sheet6!$E12</f>
        <v>-0.32593794963899103</v>
      </c>
      <c r="D12" s="189">
        <f>Sheet2!C11-Sheet6!$E12</f>
        <v>0.31712702915066038</v>
      </c>
      <c r="E12" s="189">
        <f>Sheet2!D11-Sheet6!$E12</f>
        <v>-1.6711085918435202</v>
      </c>
      <c r="F12" s="189">
        <f>Sheet2!E11-Sheet6!$E12</f>
        <v>-0.32318719558759301</v>
      </c>
      <c r="G12" s="189">
        <f>Sheet2!F11-Sheet6!$E12</f>
        <v>-2.4423197976955908</v>
      </c>
      <c r="H12" s="189">
        <f>Sheet2!G11-Sheet6!$E12</f>
        <v>-0.47330140213177552</v>
      </c>
      <c r="I12" s="189">
        <f>Sheet2!H11-Sheet6!$E12</f>
        <v>0.94994641688022574</v>
      </c>
      <c r="J12" s="189">
        <f>Sheet2!I11-Sheet6!$E12</f>
        <v>-2.116977810942934</v>
      </c>
      <c r="K12" s="189">
        <f>Sheet2!J11-Sheet6!$E12</f>
        <v>0.46106910042732763</v>
      </c>
      <c r="L12" s="190">
        <f>Sheet2!K11-Sheet6!$E12</f>
        <v>-2.1324018314723765E-2</v>
      </c>
      <c r="N12" s="55" t="s">
        <v>31</v>
      </c>
      <c r="O12" s="25">
        <f>Regressions!B71</f>
        <v>0.14081360773220475</v>
      </c>
      <c r="P12" s="59">
        <f>Regressions!B72</f>
        <v>0.76007484054633379</v>
      </c>
      <c r="Q12" s="18">
        <f>Regressions!H67</f>
        <v>0.66907850740282382</v>
      </c>
      <c r="S12" s="62">
        <f>Sheet2!K123</f>
        <v>0.23167798008196944</v>
      </c>
      <c r="T12" s="25">
        <f>Sheet6!$E$124+Sheet7!P12*(Sheet6!$C$124-Sheet6!$E$124)</f>
        <v>9.0864372349764647E-2</v>
      </c>
      <c r="U12" s="18">
        <f t="shared" si="0"/>
        <v>0.1408136077322048</v>
      </c>
      <c r="W12" s="62">
        <f>Sheet2!K124^2</f>
        <v>0.57158700404642904</v>
      </c>
      <c r="X12" s="17">
        <f>P12^2*Sheet6!$C$125^2</f>
        <v>0.12799114930474495</v>
      </c>
      <c r="Y12" s="18">
        <f t="shared" si="1"/>
        <v>0.44359585474168406</v>
      </c>
    </row>
    <row r="13" spans="1:25" ht="20" thickBot="1" x14ac:dyDescent="0.3">
      <c r="A13" s="47">
        <v>40878</v>
      </c>
      <c r="B13" s="187">
        <f>Sheet6!C13-Sheet6!E13</f>
        <v>0.10234301982421001</v>
      </c>
      <c r="C13" s="187">
        <f>Sheet2!B12-Sheet6!$E13</f>
        <v>-0.9736381832731037</v>
      </c>
      <c r="D13" s="187">
        <f>Sheet2!C12-Sheet6!$E13</f>
        <v>0.74786477829157672</v>
      </c>
      <c r="E13" s="187">
        <f>Sheet2!D12-Sheet6!$E13</f>
        <v>-6.6968701743409572E-3</v>
      </c>
      <c r="F13" s="187">
        <f>Sheet2!E12-Sheet6!$E13</f>
        <v>-0.11922043812974847</v>
      </c>
      <c r="G13" s="187">
        <f>Sheet2!F12-Sheet6!$E13</f>
        <v>0.28885141128841763</v>
      </c>
      <c r="H13" s="187">
        <f>Sheet2!G12-Sheet6!$E13</f>
        <v>0.26991499608915237</v>
      </c>
      <c r="I13" s="187">
        <f>Sheet2!H12-Sheet6!$E13</f>
        <v>-5.547615609837709E-2</v>
      </c>
      <c r="J13" s="187">
        <f>Sheet2!I12-Sheet6!$E13</f>
        <v>-0.57496595515647597</v>
      </c>
      <c r="K13" s="187">
        <f>Sheet2!J12-Sheet6!$E13</f>
        <v>0.17515835279133529</v>
      </c>
      <c r="L13" s="188">
        <f>Sheet2!K12-Sheet6!$E13</f>
        <v>2.3657797746326696E-2</v>
      </c>
    </row>
    <row r="14" spans="1:25" ht="19" x14ac:dyDescent="0.25">
      <c r="A14" s="47">
        <v>40909</v>
      </c>
      <c r="B14" s="189">
        <f>Sheet6!C14-Sheet6!E14</f>
        <v>0.52244618320610803</v>
      </c>
      <c r="C14" s="189">
        <f>Sheet2!B13-Sheet6!$E14</f>
        <v>0.92599348118763158</v>
      </c>
      <c r="D14" s="189">
        <f>Sheet2!C13-Sheet6!$E14</f>
        <v>0.49760049114509602</v>
      </c>
      <c r="E14" s="189">
        <f>Sheet2!D13-Sheet6!$E14</f>
        <v>0.1191825875979729</v>
      </c>
      <c r="F14" s="189">
        <f>Sheet2!E13-Sheet6!$E14</f>
        <v>1.0594491542469462</v>
      </c>
      <c r="G14" s="189">
        <f>Sheet2!F13-Sheet6!$E14</f>
        <v>3.3879350685765854</v>
      </c>
      <c r="H14" s="189">
        <f>Sheet2!G13-Sheet6!$E14</f>
        <v>1.649685121996264</v>
      </c>
      <c r="I14" s="189">
        <f>Sheet2!H13-Sheet6!$E14</f>
        <v>-0.5557801896049841</v>
      </c>
      <c r="J14" s="189">
        <f>Sheet2!I13-Sheet6!$E14</f>
        <v>2.2194783061555907</v>
      </c>
      <c r="K14" s="189">
        <f>Sheet2!J13-Sheet6!$E14</f>
        <v>0.39772580167002364</v>
      </c>
      <c r="L14" s="190">
        <f>Sheet2!K13-Sheet6!$E14</f>
        <v>0.99693709735622393</v>
      </c>
      <c r="N14" s="193" t="s">
        <v>111</v>
      </c>
      <c r="O14" s="194"/>
      <c r="P14" s="194"/>
      <c r="Q14" s="195"/>
      <c r="R14" s="195"/>
      <c r="S14" s="196" t="s">
        <v>115</v>
      </c>
      <c r="T14" s="195"/>
      <c r="U14" s="195"/>
      <c r="V14" s="195"/>
      <c r="W14" s="197"/>
    </row>
    <row r="15" spans="1:25" ht="19" x14ac:dyDescent="0.25">
      <c r="A15" s="47">
        <v>40940</v>
      </c>
      <c r="B15" s="187">
        <f>Sheet6!C15-Sheet6!E15</f>
        <v>0.48632339931881058</v>
      </c>
      <c r="C15" s="187">
        <f>Sheet2!B14-Sheet6!$E15</f>
        <v>0.45966179700587079</v>
      </c>
      <c r="D15" s="187">
        <f>Sheet2!C14-Sheet6!$E15</f>
        <v>0.15951740180395649</v>
      </c>
      <c r="E15" s="187">
        <f>Sheet2!D14-Sheet6!$E15</f>
        <v>2.0870657018559653</v>
      </c>
      <c r="F15" s="187">
        <f>Sheet2!E14-Sheet6!$E15</f>
        <v>0.76845776197604909</v>
      </c>
      <c r="G15" s="187">
        <f>Sheet2!F14-Sheet6!$E15</f>
        <v>1.4129953968155542</v>
      </c>
      <c r="H15" s="187">
        <f>Sheet2!G14-Sheet6!$E15</f>
        <v>0.89732043620223312</v>
      </c>
      <c r="I15" s="187">
        <f>Sheet2!H14-Sheet6!$E15</f>
        <v>2.1796503624488226</v>
      </c>
      <c r="J15" s="187">
        <f>Sheet2!I14-Sheet6!$E15</f>
        <v>0.99841773081599428</v>
      </c>
      <c r="K15" s="187">
        <f>Sheet2!J14-Sheet6!$E15</f>
        <v>-0.44664277123273072</v>
      </c>
      <c r="L15" s="188">
        <f>Sheet2!K14-Sheet6!$E15</f>
        <v>0.45275700115461609</v>
      </c>
      <c r="N15" s="203" t="s">
        <v>112</v>
      </c>
      <c r="O15" s="204"/>
      <c r="P15" s="204"/>
      <c r="Q15" s="205"/>
      <c r="R15" s="205"/>
      <c r="S15" s="204" t="s">
        <v>116</v>
      </c>
      <c r="T15" s="205"/>
      <c r="U15" s="205"/>
      <c r="V15" s="205"/>
      <c r="W15" s="206"/>
    </row>
    <row r="16" spans="1:25" ht="19" x14ac:dyDescent="0.25">
      <c r="A16" s="47">
        <v>40969</v>
      </c>
      <c r="B16" s="189">
        <f>Sheet6!C16-Sheet6!E16</f>
        <v>0.375338518540213</v>
      </c>
      <c r="C16" s="189">
        <f>Sheet2!B15-Sheet6!$E16</f>
        <v>0.99901453622945291</v>
      </c>
      <c r="D16" s="189">
        <f>Sheet2!C15-Sheet6!$E16</f>
        <v>1.8594807567344882</v>
      </c>
      <c r="E16" s="189">
        <f>Sheet2!D15-Sheet6!$E16</f>
        <v>-0.34847554220783311</v>
      </c>
      <c r="F16" s="189">
        <f>Sheet2!E15-Sheet6!$E16</f>
        <v>0.58435293566752589</v>
      </c>
      <c r="G16" s="189">
        <f>Sheet2!F15-Sheet6!$E16</f>
        <v>2.4261514574214655</v>
      </c>
      <c r="H16" s="189">
        <f>Sheet2!G15-Sheet6!$E16</f>
        <v>0.27623967727218296</v>
      </c>
      <c r="I16" s="189">
        <f>Sheet2!H15-Sheet6!$E16</f>
        <v>1.4776569527044798E-2</v>
      </c>
      <c r="J16" s="189">
        <f>Sheet2!I15-Sheet6!$E16</f>
        <v>-0.17128696704663968</v>
      </c>
      <c r="K16" s="189">
        <f>Sheet2!J15-Sheet6!$E16</f>
        <v>0.42995098423296368</v>
      </c>
      <c r="L16" s="190">
        <f>Sheet2!K15-Sheet6!$E16</f>
        <v>5.7169011530608757E-2</v>
      </c>
      <c r="N16" s="198" t="s">
        <v>113</v>
      </c>
      <c r="O16" s="199"/>
      <c r="P16" s="199"/>
      <c r="Q16" s="200"/>
      <c r="R16" s="200"/>
      <c r="S16" s="201" t="s">
        <v>117</v>
      </c>
      <c r="T16" s="200"/>
      <c r="U16" s="200"/>
      <c r="V16" s="200"/>
      <c r="W16" s="202"/>
    </row>
    <row r="17" spans="1:23" ht="20" thickBot="1" x14ac:dyDescent="0.3">
      <c r="A17" s="47">
        <v>41000</v>
      </c>
      <c r="B17" s="187">
        <f>Sheet6!C17-Sheet6!E17</f>
        <v>-9.0869967411446026E-2</v>
      </c>
      <c r="C17" s="187">
        <f>Sheet2!B16-Sheet6!$E17</f>
        <v>8.2820264914327382E-2</v>
      </c>
      <c r="D17" s="187">
        <f>Sheet2!C16-Sheet6!$E17</f>
        <v>0.31686894749933148</v>
      </c>
      <c r="E17" s="187">
        <f>Sheet2!D16-Sheet6!$E17</f>
        <v>-2.635469667790082</v>
      </c>
      <c r="F17" s="187">
        <f>Sheet2!E16-Sheet6!$E17</f>
        <v>-0.12110918541704306</v>
      </c>
      <c r="G17" s="187">
        <f>Sheet2!F16-Sheet6!$E17</f>
        <v>-1.831621948523239</v>
      </c>
      <c r="H17" s="187">
        <f>Sheet2!G16-Sheet6!$E17</f>
        <v>-9.0176146466743531E-2</v>
      </c>
      <c r="I17" s="187">
        <f>Sheet2!H16-Sheet6!$E17</f>
        <v>0.90450605447055976</v>
      </c>
      <c r="J17" s="187">
        <f>Sheet2!I16-Sheet6!$E17</f>
        <v>-1.2406645243621519</v>
      </c>
      <c r="K17" s="187">
        <f>Sheet2!J16-Sheet6!$E17</f>
        <v>-0.37260455831745787</v>
      </c>
      <c r="L17" s="188">
        <f>Sheet2!K16-Sheet6!$E17</f>
        <v>0.42009748121776946</v>
      </c>
      <c r="N17" s="207" t="s">
        <v>114</v>
      </c>
      <c r="O17" s="208"/>
      <c r="P17" s="208"/>
      <c r="Q17" s="209"/>
      <c r="R17" s="209"/>
      <c r="S17" s="208" t="s">
        <v>118</v>
      </c>
      <c r="T17" s="209"/>
      <c r="U17" s="209"/>
      <c r="V17" s="209"/>
      <c r="W17" s="210"/>
    </row>
    <row r="18" spans="1:23" ht="19" x14ac:dyDescent="0.25">
      <c r="A18" s="47">
        <v>41030</v>
      </c>
      <c r="B18" s="189">
        <f>Sheet6!C18-Sheet6!E18</f>
        <v>-0.75240805631263952</v>
      </c>
      <c r="C18" s="189">
        <f>Sheet2!B17-Sheet6!$E18</f>
        <v>-1.3369638823417564</v>
      </c>
      <c r="D18" s="189">
        <f>Sheet2!C17-Sheet6!$E18</f>
        <v>-0.51933999371376827</v>
      </c>
      <c r="E18" s="189">
        <f>Sheet2!D17-Sheet6!$E18</f>
        <v>-2.1992422084295011</v>
      </c>
      <c r="F18" s="189">
        <f>Sheet2!E17-Sheet6!$E18</f>
        <v>-0.84541776281723735</v>
      </c>
      <c r="G18" s="189">
        <f>Sheet2!F17-Sheet6!$E18</f>
        <v>-1.1251370244335464</v>
      </c>
      <c r="H18" s="189">
        <f>Sheet2!G17-Sheet6!$E18</f>
        <v>-1.0611871002003279</v>
      </c>
      <c r="I18" s="189">
        <f>Sheet2!H17-Sheet6!$E18</f>
        <v>-1.2073489009309188</v>
      </c>
      <c r="J18" s="189">
        <f>Sheet2!I17-Sheet6!$E18</f>
        <v>-0.41799526657576141</v>
      </c>
      <c r="K18" s="189">
        <f>Sheet2!J17-Sheet6!$E18</f>
        <v>1.4069685466931685</v>
      </c>
      <c r="L18" s="190">
        <f>Sheet2!K17-Sheet6!$E18</f>
        <v>-0.39641522872385831</v>
      </c>
    </row>
    <row r="19" spans="1:23" ht="19" x14ac:dyDescent="0.25">
      <c r="A19" s="47">
        <v>41061</v>
      </c>
      <c r="B19" s="187">
        <f>Sheet6!C19-Sheet6!E19</f>
        <v>0.47385905535246919</v>
      </c>
      <c r="C19" s="187">
        <f>Sheet2!B18-Sheet6!$E19</f>
        <v>0.62756951332156763</v>
      </c>
      <c r="D19" s="187">
        <f>Sheet2!C18-Sheet6!$E19</f>
        <v>-0.30825581326473206</v>
      </c>
      <c r="E19" s="187">
        <f>Sheet2!D18-Sheet6!$E19</f>
        <v>0.90554441087613202</v>
      </c>
      <c r="F19" s="187">
        <f>Sheet2!E18-Sheet6!$E19</f>
        <v>0.40526009601036062</v>
      </c>
      <c r="G19" s="187">
        <f>Sheet2!F18-Sheet6!$E19</f>
        <v>1.3722735303476208</v>
      </c>
      <c r="H19" s="187">
        <f>Sheet2!G18-Sheet6!$E19</f>
        <v>0.65725620353823622</v>
      </c>
      <c r="I19" s="187">
        <f>Sheet2!H18-Sheet6!$E19</f>
        <v>0.69585989826167516</v>
      </c>
      <c r="J19" s="187">
        <f>Sheet2!I18-Sheet6!$E19</f>
        <v>-1.3413375691526377</v>
      </c>
      <c r="K19" s="187">
        <f>Sheet2!J18-Sheet6!$E19</f>
        <v>0.79648964257935695</v>
      </c>
      <c r="L19" s="188">
        <f>Sheet2!K18-Sheet6!$E19</f>
        <v>-2.231309543204905</v>
      </c>
    </row>
    <row r="20" spans="1:23" ht="19" x14ac:dyDescent="0.25">
      <c r="A20" s="47">
        <v>41091</v>
      </c>
      <c r="B20" s="189">
        <f>Sheet6!C20-Sheet6!E20</f>
        <v>0.15017166852645614</v>
      </c>
      <c r="C20" s="189">
        <f>Sheet2!B19-Sheet6!$E20</f>
        <v>4.093702604062821E-2</v>
      </c>
      <c r="D20" s="189">
        <f>Sheet2!C19-Sheet6!$E20</f>
        <v>-1.8104507724841681</v>
      </c>
      <c r="E20" s="189">
        <f>Sheet2!D19-Sheet6!$E20</f>
        <v>-1.7622359550561795</v>
      </c>
      <c r="F20" s="189">
        <f>Sheet2!E19-Sheet6!$E20</f>
        <v>0.14655682528894542</v>
      </c>
      <c r="G20" s="189">
        <f>Sheet2!F19-Sheet6!$E20</f>
        <v>-1.233272301801478</v>
      </c>
      <c r="H20" s="189">
        <f>Sheet2!G19-Sheet6!$E20</f>
        <v>-0.44035832877349412</v>
      </c>
      <c r="I20" s="189">
        <f>Sheet2!H19-Sheet6!$E20</f>
        <v>0.17923608324201579</v>
      </c>
      <c r="J20" s="189">
        <f>Sheet2!I19-Sheet6!$E20</f>
        <v>-7.0868156588864686E-3</v>
      </c>
      <c r="K20" s="189">
        <f>Sheet2!J19-Sheet6!$E20</f>
        <v>0.80967343557550586</v>
      </c>
      <c r="L20" s="190">
        <f>Sheet2!K19-Sheet6!$E20</f>
        <v>0.76045151875662886</v>
      </c>
      <c r="O20" s="186"/>
      <c r="P20" s="186"/>
    </row>
    <row r="21" spans="1:23" ht="19" x14ac:dyDescent="0.25">
      <c r="A21" s="47">
        <v>41122</v>
      </c>
      <c r="B21" s="187">
        <f>Sheet6!C21-Sheet6!E21</f>
        <v>0.23631033987761965</v>
      </c>
      <c r="C21" s="187">
        <f>Sheet2!B20-Sheet6!$E21</f>
        <v>0.25785815217024033</v>
      </c>
      <c r="D21" s="187">
        <f>Sheet2!C20-Sheet6!$E21</f>
        <v>1.1466765657193692</v>
      </c>
      <c r="E21" s="187">
        <f>Sheet2!D20-Sheet6!$E21</f>
        <v>-0.83047962962962907</v>
      </c>
      <c r="F21" s="187">
        <f>Sheet2!E20-Sheet6!$E21</f>
        <v>0.62137131654000721</v>
      </c>
      <c r="G21" s="187">
        <f>Sheet2!F20-Sheet6!$E21</f>
        <v>1.0618221628719995</v>
      </c>
      <c r="H21" s="187">
        <f>Sheet2!G20-Sheet6!$E21</f>
        <v>0.54886107872701984</v>
      </c>
      <c r="I21" s="187">
        <f>Sheet2!H20-Sheet6!$E21</f>
        <v>-0.36869930768927905</v>
      </c>
      <c r="J21" s="187">
        <f>Sheet2!I20-Sheet6!$E21</f>
        <v>0.99762811462664103</v>
      </c>
      <c r="K21" s="187">
        <f>Sheet2!J20-Sheet6!$E21</f>
        <v>-0.29589811935247146</v>
      </c>
      <c r="L21" s="188">
        <f>Sheet2!K20-Sheet6!$E21</f>
        <v>0.51462548430513499</v>
      </c>
      <c r="O21" s="186"/>
      <c r="P21" s="186"/>
    </row>
    <row r="22" spans="1:23" ht="19" x14ac:dyDescent="0.25">
      <c r="A22" s="47">
        <v>41153</v>
      </c>
      <c r="B22" s="189">
        <f>Sheet6!C22-Sheet6!E22</f>
        <v>0.28993308450283861</v>
      </c>
      <c r="C22" s="189">
        <f>Sheet2!B21-Sheet6!$E22</f>
        <v>1.6413068505273072</v>
      </c>
      <c r="D22" s="189">
        <f>Sheet2!C21-Sheet6!$E22</f>
        <v>0.3128453285820566</v>
      </c>
      <c r="E22" s="189">
        <f>Sheet2!D21-Sheet6!$E22</f>
        <v>0.41289310344827401</v>
      </c>
      <c r="F22" s="189">
        <f>Sheet2!E21-Sheet6!$E22</f>
        <v>7.1286490298558505E-2</v>
      </c>
      <c r="G22" s="189">
        <f>Sheet2!F21-Sheet6!$E22</f>
        <v>1.2606767447636231</v>
      </c>
      <c r="H22" s="189">
        <f>Sheet2!G21-Sheet6!$E22</f>
        <v>-0.33685585127933038</v>
      </c>
      <c r="I22" s="189">
        <f>Sheet2!H21-Sheet6!$E22</f>
        <v>0.81007514207542253</v>
      </c>
      <c r="J22" s="189">
        <f>Sheet2!I21-Sheet6!$E22</f>
        <v>0.7859828615861485</v>
      </c>
      <c r="K22" s="189">
        <f>Sheet2!J21-Sheet6!$E22</f>
        <v>0.26342193388474533</v>
      </c>
      <c r="L22" s="190">
        <f>Sheet2!K21-Sheet6!$E22</f>
        <v>-0.26004120511816964</v>
      </c>
      <c r="O22" s="186"/>
      <c r="P22" s="186"/>
    </row>
    <row r="23" spans="1:23" ht="19" x14ac:dyDescent="0.25">
      <c r="A23" s="47">
        <v>41183</v>
      </c>
      <c r="B23" s="187">
        <f>Sheet6!C23-Sheet6!E23</f>
        <v>-0.23852284249689348</v>
      </c>
      <c r="C23" s="187">
        <f>Sheet2!B22-Sheet6!$E23</f>
        <v>-0.45000106631230197</v>
      </c>
      <c r="D23" s="187">
        <f>Sheet2!C22-Sheet6!$E23</f>
        <v>-1.1392868204853179</v>
      </c>
      <c r="E23" s="187">
        <f>Sheet2!D22-Sheet6!$E23</f>
        <v>3.9975641025640878E-2</v>
      </c>
      <c r="F23" s="187">
        <f>Sheet2!E22-Sheet6!$E23</f>
        <v>-0.60215303190298841</v>
      </c>
      <c r="G23" s="187">
        <f>Sheet2!F22-Sheet6!$E23</f>
        <v>0.68071294684441175</v>
      </c>
      <c r="H23" s="187">
        <f>Sheet2!G22-Sheet6!$E23</f>
        <v>-0.49298648719063798</v>
      </c>
      <c r="I23" s="187">
        <f>Sheet2!H22-Sheet6!$E23</f>
        <v>0.250119918350036</v>
      </c>
      <c r="J23" s="187">
        <f>Sheet2!I22-Sheet6!$E23</f>
        <v>1.4494984456016005</v>
      </c>
      <c r="K23" s="187">
        <f>Sheet2!J22-Sheet6!$E23</f>
        <v>0.19732391159375617</v>
      </c>
      <c r="L23" s="188">
        <f>Sheet2!K22-Sheet6!$E23</f>
        <v>-0.44736925671438921</v>
      </c>
    </row>
    <row r="24" spans="1:23" ht="19" x14ac:dyDescent="0.25">
      <c r="A24" s="47">
        <v>41214</v>
      </c>
      <c r="B24" s="189">
        <f>Sheet6!C24-Sheet6!E24</f>
        <v>3.3410435078178785E-2</v>
      </c>
      <c r="C24" s="189">
        <f>Sheet2!B23-Sheet6!$E24</f>
        <v>0.23077201464746813</v>
      </c>
      <c r="D24" s="189">
        <f>Sheet2!C23-Sheet6!$E24</f>
        <v>1.5600368413303194</v>
      </c>
      <c r="E24" s="189">
        <f>Sheet2!D23-Sheet6!$E24</f>
        <v>-2.0450430153321979</v>
      </c>
      <c r="F24" s="189">
        <f>Sheet2!E23-Sheet6!$E24</f>
        <v>0.15629797788124125</v>
      </c>
      <c r="G24" s="189">
        <f>Sheet2!F23-Sheet6!$E24</f>
        <v>0.69452961603217833</v>
      </c>
      <c r="H24" s="189">
        <f>Sheet2!G23-Sheet6!$E24</f>
        <v>-0.80803535991371245</v>
      </c>
      <c r="I24" s="189">
        <f>Sheet2!H23-Sheet6!$E24</f>
        <v>0.72974484778096738</v>
      </c>
      <c r="J24" s="189">
        <f>Sheet2!I23-Sheet6!$E24</f>
        <v>0.17807319083478748</v>
      </c>
      <c r="K24" s="189">
        <f>Sheet2!J23-Sheet6!$E24</f>
        <v>-0.48062437112066764</v>
      </c>
      <c r="L24" s="190">
        <f>Sheet2!K23-Sheet6!$E24</f>
        <v>0.80030104364887666</v>
      </c>
    </row>
    <row r="25" spans="1:23" ht="19" x14ac:dyDescent="0.25">
      <c r="A25" s="47">
        <v>41244</v>
      </c>
      <c r="B25" s="187">
        <f>Sheet6!C25-Sheet6!E25</f>
        <v>8.446972630597667E-2</v>
      </c>
      <c r="C25" s="187">
        <f>Sheet2!B24-Sheet6!$E25</f>
        <v>-0.25123541777750485</v>
      </c>
      <c r="D25" s="187">
        <f>Sheet2!C24-Sheet6!$E25</f>
        <v>0.45844686421143793</v>
      </c>
      <c r="E25" s="187">
        <f>Sheet2!D24-Sheet6!$E25</f>
        <v>1.7984179671457898</v>
      </c>
      <c r="F25" s="187">
        <f>Sheet2!E24-Sheet6!$E25</f>
        <v>-0.12253835338564027</v>
      </c>
      <c r="G25" s="187">
        <f>Sheet2!F24-Sheet6!$E25</f>
        <v>2.1294653496004985</v>
      </c>
      <c r="H25" s="187">
        <f>Sheet2!G24-Sheet6!$E25</f>
        <v>0.13915633740387898</v>
      </c>
      <c r="I25" s="187">
        <f>Sheet2!H24-Sheet6!$E25</f>
        <v>6.3497179658976569E-2</v>
      </c>
      <c r="J25" s="187">
        <f>Sheet2!I24-Sheet6!$E25</f>
        <v>1.3675058439113936</v>
      </c>
      <c r="K25" s="187">
        <f>Sheet2!J24-Sheet6!$E25</f>
        <v>-0.6318372715441577</v>
      </c>
      <c r="L25" s="188">
        <f>Sheet2!K24-Sheet6!$E25</f>
        <v>0.70378983091374636</v>
      </c>
    </row>
    <row r="26" spans="1:23" ht="19" x14ac:dyDescent="0.25">
      <c r="A26" s="47">
        <v>41275</v>
      </c>
      <c r="B26" s="189">
        <f>Sheet6!C26-Sheet6!E26</f>
        <v>0.6044867629838937</v>
      </c>
      <c r="C26" s="189">
        <f>Sheet2!B25-Sheet6!$E26</f>
        <v>0.97198175554933219</v>
      </c>
      <c r="D26" s="189">
        <f>Sheet2!C25-Sheet6!$E26</f>
        <v>0.55650279543106618</v>
      </c>
      <c r="E26" s="189">
        <f>Sheet2!D25-Sheet6!$E26</f>
        <v>4.0064928571428586</v>
      </c>
      <c r="F26" s="189">
        <f>Sheet2!E25-Sheet6!$E26</f>
        <v>0.38855880544900173</v>
      </c>
      <c r="G26" s="189">
        <f>Sheet2!F25-Sheet6!$E26</f>
        <v>-0.28856918749486854</v>
      </c>
      <c r="H26" s="189">
        <f>Sheet2!G25-Sheet6!$E26</f>
        <v>0.33181384032853362</v>
      </c>
      <c r="I26" s="189">
        <f>Sheet2!H25-Sheet6!$E26</f>
        <v>0.6617829064929428</v>
      </c>
      <c r="J26" s="189">
        <f>Sheet2!I25-Sheet6!$E26</f>
        <v>-0.30866173008735681</v>
      </c>
      <c r="K26" s="189">
        <f>Sheet2!J25-Sheet6!$E26</f>
        <v>0.37012081301732042</v>
      </c>
      <c r="L26" s="190">
        <f>Sheet2!K25-Sheet6!$E26</f>
        <v>0.62340094662362433</v>
      </c>
    </row>
    <row r="27" spans="1:23" ht="19" x14ac:dyDescent="0.25">
      <c r="A27" s="47">
        <v>41306</v>
      </c>
      <c r="B27" s="187">
        <f>Sheet6!C27-Sheet6!E27</f>
        <v>0.13172723631776184</v>
      </c>
      <c r="C27" s="187">
        <f>Sheet2!B26-Sheet6!$E27</f>
        <v>0.41129778915374116</v>
      </c>
      <c r="D27" s="187">
        <f>Sheet2!C26-Sheet6!$E27</f>
        <v>-0.27256417379725228</v>
      </c>
      <c r="E27" s="187">
        <f>Sheet2!D26-Sheet6!$E27</f>
        <v>-0.2901566265060237</v>
      </c>
      <c r="F27" s="187">
        <f>Sheet2!E26-Sheet6!$E27</f>
        <v>4.0271611878004321E-2</v>
      </c>
      <c r="G27" s="187">
        <f>Sheet2!F26-Sheet6!$E27</f>
        <v>-9.6410125943706348E-2</v>
      </c>
      <c r="H27" s="187">
        <f>Sheet2!G26-Sheet6!$E27</f>
        <v>0.15200266676319207</v>
      </c>
      <c r="I27" s="187">
        <f>Sheet2!H26-Sheet6!$E27</f>
        <v>-7.3826104248287941E-3</v>
      </c>
      <c r="J27" s="187">
        <f>Sheet2!I26-Sheet6!$E27</f>
        <v>-0.40256738269824954</v>
      </c>
      <c r="K27" s="187">
        <f>Sheet2!J26-Sheet6!$E27</f>
        <v>0.1413862715516675</v>
      </c>
      <c r="L27" s="188">
        <f>Sheet2!K26-Sheet6!$E27</f>
        <v>9.0024660831493519E-2</v>
      </c>
    </row>
    <row r="28" spans="1:23" ht="19" x14ac:dyDescent="0.25">
      <c r="A28" s="47">
        <v>41334</v>
      </c>
      <c r="B28" s="189">
        <f>Sheet6!C28-Sheet6!E28</f>
        <v>0.43120359283809179</v>
      </c>
      <c r="C28" s="189">
        <f>Sheet2!B27-Sheet6!$E28</f>
        <v>0.2591664203266098</v>
      </c>
      <c r="D28" s="189">
        <f>Sheet2!C27-Sheet6!$E28</f>
        <v>0.50561100977450857</v>
      </c>
      <c r="E28" s="189">
        <f>Sheet2!D27-Sheet6!$E28</f>
        <v>2.3203376543209866</v>
      </c>
      <c r="F28" s="189">
        <f>Sheet2!E27-Sheet6!$E28</f>
        <v>0.33377650694288113</v>
      </c>
      <c r="G28" s="189">
        <f>Sheet2!F27-Sheet6!$E28</f>
        <v>1.0261923501033936</v>
      </c>
      <c r="H28" s="189">
        <f>Sheet2!G27-Sheet6!$E28</f>
        <v>0.4512373725558379</v>
      </c>
      <c r="I28" s="189">
        <f>Sheet2!H27-Sheet6!$E28</f>
        <v>0.53953596836164519</v>
      </c>
      <c r="J28" s="189">
        <f>Sheet2!I27-Sheet6!$E28</f>
        <v>0.29548212234464027</v>
      </c>
      <c r="K28" s="189">
        <f>Sheet2!J27-Sheet6!$E28</f>
        <v>0.68598868723565531</v>
      </c>
      <c r="L28" s="190">
        <f>Sheet2!K27-Sheet6!$E28</f>
        <v>1.0523644383547357</v>
      </c>
    </row>
    <row r="29" spans="1:23" ht="19" x14ac:dyDescent="0.25">
      <c r="A29" s="47">
        <v>41365</v>
      </c>
      <c r="B29" s="187">
        <f>Sheet6!C29-Sheet6!E29</f>
        <v>0.21657916791465565</v>
      </c>
      <c r="C29" s="187">
        <f>Sheet2!B28-Sheet6!$E29</f>
        <v>0.86357623275712736</v>
      </c>
      <c r="D29" s="187">
        <f>Sheet2!C28-Sheet6!$E29</f>
        <v>0.81921449258479828</v>
      </c>
      <c r="E29" s="187">
        <f>Sheet2!D28-Sheet6!$E29</f>
        <v>-0.66941551724137904</v>
      </c>
      <c r="F29" s="187">
        <f>Sheet2!E28-Sheet6!$E29</f>
        <v>0.33250624600377315</v>
      </c>
      <c r="G29" s="187">
        <f>Sheet2!F28-Sheet6!$E29</f>
        <v>0.12762933642731228</v>
      </c>
      <c r="H29" s="187">
        <f>Sheet2!G28-Sheet6!$E29</f>
        <v>1.8828082089486136</v>
      </c>
      <c r="I29" s="187">
        <f>Sheet2!H28-Sheet6!$E29</f>
        <v>0.26122598929086821</v>
      </c>
      <c r="J29" s="187">
        <f>Sheet2!I28-Sheet6!$E29</f>
        <v>1.3022126851277915</v>
      </c>
      <c r="K29" s="187">
        <f>Sheet2!J28-Sheet6!$E29</f>
        <v>0.54340303202857931</v>
      </c>
      <c r="L29" s="188">
        <f>Sheet2!K28-Sheet6!$E29</f>
        <v>0.9329525941632707</v>
      </c>
    </row>
    <row r="30" spans="1:23" ht="19" x14ac:dyDescent="0.25">
      <c r="A30" s="47">
        <v>41395</v>
      </c>
      <c r="B30" s="189">
        <f>Sheet6!C30-Sheet6!E30</f>
        <v>0.24885340172887746</v>
      </c>
      <c r="C30" s="189">
        <f>Sheet2!B29-Sheet6!$E30</f>
        <v>0.22839354406184606</v>
      </c>
      <c r="D30" s="189">
        <f>Sheet2!C29-Sheet6!$E30</f>
        <v>0.45334734760196244</v>
      </c>
      <c r="E30" s="189">
        <f>Sheet2!D29-Sheet6!$E30</f>
        <v>2.7166811320754709</v>
      </c>
      <c r="F30" s="189">
        <f>Sheet2!E29-Sheet6!$E30</f>
        <v>0.42899669419898706</v>
      </c>
      <c r="G30" s="189">
        <f>Sheet2!F29-Sheet6!$E30</f>
        <v>1.3157018112340684</v>
      </c>
      <c r="H30" s="189">
        <f>Sheet2!G29-Sheet6!$E30</f>
        <v>0.65226638923762015</v>
      </c>
      <c r="I30" s="189">
        <f>Sheet2!H29-Sheet6!$E30</f>
        <v>0.38950077733824012</v>
      </c>
      <c r="J30" s="189">
        <f>Sheet2!I29-Sheet6!$E30</f>
        <v>1.1864677057874691</v>
      </c>
      <c r="K30" s="189">
        <f>Sheet2!J29-Sheet6!$E30</f>
        <v>-0.44496890592050581</v>
      </c>
      <c r="L30" s="190">
        <f>Sheet2!K29-Sheet6!$E30</f>
        <v>-0.36633836912798784</v>
      </c>
    </row>
    <row r="31" spans="1:23" ht="19" x14ac:dyDescent="0.25">
      <c r="A31" s="47">
        <v>41426</v>
      </c>
      <c r="B31" s="187">
        <f>Sheet6!C31-Sheet6!E31</f>
        <v>-0.18029190551528831</v>
      </c>
      <c r="C31" s="187">
        <f>Sheet2!B30-Sheet6!$E31</f>
        <v>-1.4836745919145995</v>
      </c>
      <c r="D31" s="187">
        <f>Sheet2!C30-Sheet6!$E31</f>
        <v>0.49211489132126846</v>
      </c>
      <c r="E31" s="187">
        <f>Sheet2!D30-Sheet6!$E31</f>
        <v>0.61905543424317622</v>
      </c>
      <c r="F31" s="187">
        <f>Sheet2!E30-Sheet6!$E31</f>
        <v>-0.32466127121311078</v>
      </c>
      <c r="G31" s="187">
        <f>Sheet2!F30-Sheet6!$E31</f>
        <v>-0.70307853551436428</v>
      </c>
      <c r="H31" s="187">
        <f>Sheet2!G30-Sheet6!$E31</f>
        <v>-4.0802633890940222E-2</v>
      </c>
      <c r="I31" s="187">
        <f>Sheet2!H30-Sheet6!$E31</f>
        <v>8.9134791413584241E-2</v>
      </c>
      <c r="J31" s="187">
        <f>Sheet2!I30-Sheet6!$E31</f>
        <v>-0.20567197792311445</v>
      </c>
      <c r="K31" s="187">
        <f>Sheet2!J30-Sheet6!$E31</f>
        <v>1.5216994898422176E-2</v>
      </c>
      <c r="L31" s="188">
        <f>Sheet2!K30-Sheet6!$E31</f>
        <v>0.43432033775651496</v>
      </c>
    </row>
    <row r="32" spans="1:23" ht="19" x14ac:dyDescent="0.25">
      <c r="A32" s="47">
        <v>41456</v>
      </c>
      <c r="B32" s="189">
        <f>Sheet6!C32-Sheet6!E32</f>
        <v>0.59324533456184647</v>
      </c>
      <c r="C32" s="189">
        <f>Sheet2!B31-Sheet6!$E32</f>
        <v>0.30820307517956297</v>
      </c>
      <c r="D32" s="189">
        <f>Sheet2!C31-Sheet6!$E32</f>
        <v>1.0584696575771944</v>
      </c>
      <c r="E32" s="189">
        <f>Sheet2!D31-Sheet6!$E32</f>
        <v>-8.5245725108742648E-2</v>
      </c>
      <c r="F32" s="189">
        <f>Sheet2!E31-Sheet6!$E32</f>
        <v>0.79773782608363075</v>
      </c>
      <c r="G32" s="189">
        <f>Sheet2!F31-Sheet6!$E32</f>
        <v>1.6335428456951384</v>
      </c>
      <c r="H32" s="189">
        <f>Sheet2!G31-Sheet6!$E32</f>
        <v>-0.93834134871984731</v>
      </c>
      <c r="I32" s="189">
        <f>Sheet2!H31-Sheet6!$E32</f>
        <v>0.75395847256017867</v>
      </c>
      <c r="J32" s="189">
        <f>Sheet2!I31-Sheet6!$E32</f>
        <v>0.92194710679750114</v>
      </c>
      <c r="K32" s="189">
        <f>Sheet2!J31-Sheet6!$E32</f>
        <v>0.55548195945106671</v>
      </c>
      <c r="L32" s="190">
        <f>Sheet2!K31-Sheet6!$E32</f>
        <v>-0.14351820441337829</v>
      </c>
    </row>
    <row r="33" spans="1:12" ht="19" x14ac:dyDescent="0.25">
      <c r="A33" s="47">
        <v>41487</v>
      </c>
      <c r="B33" s="187">
        <f>Sheet6!C33-Sheet6!E33</f>
        <v>-0.37577615988325519</v>
      </c>
      <c r="C33" s="187">
        <f>Sheet2!B32-Sheet6!$E33</f>
        <v>-0.25382350322838221</v>
      </c>
      <c r="D33" s="187">
        <f>Sheet2!C32-Sheet6!$E33</f>
        <v>-0.12980776274219211</v>
      </c>
      <c r="E33" s="187">
        <f>Sheet2!D32-Sheet6!$E33</f>
        <v>-0.61617069315728612</v>
      </c>
      <c r="F33" s="187">
        <f>Sheet2!E32-Sheet6!$E33</f>
        <v>-4.7709079222192162E-2</v>
      </c>
      <c r="G33" s="187">
        <f>Sheet2!F32-Sheet6!$E33</f>
        <v>-0.39472032615769681</v>
      </c>
      <c r="H33" s="187">
        <f>Sheet2!G32-Sheet6!$E33</f>
        <v>0.58773907254119573</v>
      </c>
      <c r="I33" s="187">
        <f>Sheet2!H32-Sheet6!$E33</f>
        <v>-7.7023336661642655E-2</v>
      </c>
      <c r="J33" s="187">
        <f>Sheet2!I32-Sheet6!$E33</f>
        <v>-0.59902703959623205</v>
      </c>
      <c r="K33" s="187">
        <f>Sheet2!J32-Sheet6!$E33</f>
        <v>-0.76386250724577121</v>
      </c>
      <c r="L33" s="188">
        <f>Sheet2!K32-Sheet6!$E33</f>
        <v>-1.92710388599431E-2</v>
      </c>
    </row>
    <row r="34" spans="1:12" ht="19" x14ac:dyDescent="0.25">
      <c r="A34" s="47">
        <v>41518</v>
      </c>
      <c r="B34" s="189">
        <f>Sheet6!C34-Sheet6!E34</f>
        <v>0.35694369859826025</v>
      </c>
      <c r="C34" s="189">
        <f>Sheet2!B33-Sheet6!$E34</f>
        <v>0.23081610105068229</v>
      </c>
      <c r="D34" s="189">
        <f>Sheet2!C33-Sheet6!$E34</f>
        <v>1.1347941755246198</v>
      </c>
      <c r="E34" s="189">
        <f>Sheet2!D33-Sheet6!$E34</f>
        <v>0.9378263996932058</v>
      </c>
      <c r="F34" s="189">
        <f>Sheet2!E33-Sheet6!$E34</f>
        <v>0.54215017838866675</v>
      </c>
      <c r="G34" s="189">
        <f>Sheet2!F33-Sheet6!$E34</f>
        <v>-0.27200451613906573</v>
      </c>
      <c r="H34" s="189">
        <f>Sheet2!G33-Sheet6!$E34</f>
        <v>4.1090322599843236E-2</v>
      </c>
      <c r="I34" s="189">
        <f>Sheet2!H33-Sheet6!$E34</f>
        <v>1.320565784016307</v>
      </c>
      <c r="J34" s="189">
        <f>Sheet2!I33-Sheet6!$E34</f>
        <v>0.66544140453366729</v>
      </c>
      <c r="K34" s="189">
        <f>Sheet2!J33-Sheet6!$E34</f>
        <v>0.23493431315626345</v>
      </c>
      <c r="L34" s="190">
        <f>Sheet2!K33-Sheet6!$E34</f>
        <v>1.9219214632060335</v>
      </c>
    </row>
    <row r="35" spans="1:12" ht="19" x14ac:dyDescent="0.25">
      <c r="A35" s="47">
        <v>41548</v>
      </c>
      <c r="B35" s="187">
        <f>Sheet6!C35-Sheet6!E35</f>
        <v>0.53481911837293061</v>
      </c>
      <c r="C35" s="187">
        <f>Sheet2!B34-Sheet6!$E35</f>
        <v>-2.3147308279655002E-2</v>
      </c>
      <c r="D35" s="187">
        <f>Sheet2!C34-Sheet6!$E35</f>
        <v>0.63576597541778834</v>
      </c>
      <c r="E35" s="187">
        <f>Sheet2!D34-Sheet6!$E35</f>
        <v>-2.3813708921933077</v>
      </c>
      <c r="F35" s="187">
        <f>Sheet2!E34-Sheet6!$E35</f>
        <v>0.63231647956149917</v>
      </c>
      <c r="G35" s="187">
        <f>Sheet2!F34-Sheet6!$E35</f>
        <v>0.15602786164275256</v>
      </c>
      <c r="H35" s="187">
        <f>Sheet2!G34-Sheet6!$E35</f>
        <v>0.76769936195033306</v>
      </c>
      <c r="I35" s="187">
        <f>Sheet2!H34-Sheet6!$E35</f>
        <v>0.79018294411447243</v>
      </c>
      <c r="J35" s="187">
        <f>Sheet2!I34-Sheet6!$E35</f>
        <v>0.32660613885462814</v>
      </c>
      <c r="K35" s="187">
        <f>Sheet2!J34-Sheet6!$E35</f>
        <v>0.45234169016527564</v>
      </c>
      <c r="L35" s="188">
        <f>Sheet2!K34-Sheet6!$E35</f>
        <v>0.51508979662398591</v>
      </c>
    </row>
    <row r="36" spans="1:12" ht="19" x14ac:dyDescent="0.25">
      <c r="A36" s="47">
        <v>41579</v>
      </c>
      <c r="B36" s="189">
        <f>Sheet6!C36-Sheet6!E36</f>
        <v>0.33604353046329788</v>
      </c>
      <c r="C36" s="189">
        <f>Sheet2!B35-Sheet6!$E36</f>
        <v>0.81527405924511287</v>
      </c>
      <c r="D36" s="189">
        <f>Sheet2!C35-Sheet6!$E36</f>
        <v>6.0152766451580457E-2</v>
      </c>
      <c r="E36" s="189">
        <f>Sheet2!D35-Sheet6!$E36</f>
        <v>0.72988408695652085</v>
      </c>
      <c r="F36" s="189">
        <f>Sheet2!E35-Sheet6!$E36</f>
        <v>0.42558550988258009</v>
      </c>
      <c r="G36" s="189">
        <f>Sheet2!F35-Sheet6!$E36</f>
        <v>1.5885662725084555</v>
      </c>
      <c r="H36" s="189">
        <f>Sheet2!G35-Sheet6!$E36</f>
        <v>0.9212281542647669</v>
      </c>
      <c r="I36" s="189">
        <f>Sheet2!H35-Sheet6!$E36</f>
        <v>0.74225089995993399</v>
      </c>
      <c r="J36" s="189">
        <f>Sheet2!I35-Sheet6!$E36</f>
        <v>0.57753118082731403</v>
      </c>
      <c r="K36" s="189">
        <f>Sheet2!J35-Sheet6!$E36</f>
        <v>0.66551105449162096</v>
      </c>
      <c r="L36" s="190">
        <f>Sheet2!K35-Sheet6!$E36</f>
        <v>0.53482219395896058</v>
      </c>
    </row>
    <row r="37" spans="1:12" ht="19" x14ac:dyDescent="0.25">
      <c r="A37" s="47">
        <v>41609</v>
      </c>
      <c r="B37" s="187">
        <f>Sheet6!C37-Sheet6!E37</f>
        <v>0.28212399959021017</v>
      </c>
      <c r="C37" s="187">
        <f>Sheet2!B36-Sheet6!$E37</f>
        <v>0.73513967551672643</v>
      </c>
      <c r="D37" s="187">
        <f>Sheet2!C36-Sheet6!$E37</f>
        <v>-0.41568528976421593</v>
      </c>
      <c r="E37" s="187">
        <f>Sheet2!D36-Sheet6!$E37</f>
        <v>-0.66292380668272199</v>
      </c>
      <c r="F37" s="187">
        <f>Sheet2!E36-Sheet6!$E37</f>
        <v>0.31151495063554802</v>
      </c>
      <c r="G37" s="187">
        <f>Sheet2!F36-Sheet6!$E37</f>
        <v>-0.19026263668089691</v>
      </c>
      <c r="H37" s="187">
        <f>Sheet2!G36-Sheet6!$E37</f>
        <v>-0.1379399160196296</v>
      </c>
      <c r="I37" s="187">
        <f>Sheet2!H36-Sheet6!$E37</f>
        <v>1.1767984271126342</v>
      </c>
      <c r="J37" s="187">
        <f>Sheet2!I36-Sheet6!$E37</f>
        <v>0.66242084406034352</v>
      </c>
      <c r="K37" s="187">
        <f>Sheet2!J36-Sheet6!$E37</f>
        <v>-0.34428839906322339</v>
      </c>
      <c r="L37" s="188">
        <f>Sheet2!K36-Sheet6!$E37</f>
        <v>-7.6446948469987105E-2</v>
      </c>
    </row>
    <row r="38" spans="1:12" ht="19" x14ac:dyDescent="0.25">
      <c r="A38" s="47">
        <v>41640</v>
      </c>
      <c r="B38" s="189">
        <f>Sheet6!C38-Sheet6!E38</f>
        <v>-0.4270947412841648</v>
      </c>
      <c r="C38" s="189">
        <f>Sheet2!B37-Sheet6!$E38</f>
        <v>-0.34162471878138612</v>
      </c>
      <c r="D38" s="189">
        <f>Sheet2!C37-Sheet6!$E38</f>
        <v>-1.1129974175959727</v>
      </c>
      <c r="E38" s="189">
        <f>Sheet2!D37-Sheet6!$E38</f>
        <v>-1.068926543156359</v>
      </c>
      <c r="F38" s="189">
        <f>Sheet2!E37-Sheet6!$E38</f>
        <v>-0.1932747934792427</v>
      </c>
      <c r="G38" s="189">
        <f>Sheet2!F37-Sheet6!$E38</f>
        <v>0.91765520604684681</v>
      </c>
      <c r="H38" s="189">
        <f>Sheet2!G37-Sheet6!$E38</f>
        <v>0.13783028655316687</v>
      </c>
      <c r="I38" s="189">
        <f>Sheet2!H37-Sheet6!$E38</f>
        <v>-1.1299191498664334</v>
      </c>
      <c r="J38" s="189">
        <f>Sheet2!I37-Sheet6!$E38</f>
        <v>-1.4065102805591903</v>
      </c>
      <c r="K38" s="189">
        <f>Sheet2!J37-Sheet6!$E38</f>
        <v>-0.54531763679928624</v>
      </c>
      <c r="L38" s="190">
        <f>Sheet2!K37-Sheet6!$E38</f>
        <v>-0.84879021612552985</v>
      </c>
    </row>
    <row r="39" spans="1:12" ht="19" x14ac:dyDescent="0.25">
      <c r="A39" s="47">
        <v>41671</v>
      </c>
      <c r="B39" s="187">
        <f>Sheet6!C39-Sheet6!E39</f>
        <v>0.51697445082716842</v>
      </c>
      <c r="C39" s="187">
        <f>Sheet2!B38-Sheet6!$E39</f>
        <v>0.52085372973561805</v>
      </c>
      <c r="D39" s="187">
        <f>Sheet2!C38-Sheet6!$E39</f>
        <v>-2.7427073733036281E-2</v>
      </c>
      <c r="E39" s="187">
        <f>Sheet2!D38-Sheet6!$E39</f>
        <v>1.3709978095238087</v>
      </c>
      <c r="F39" s="187">
        <f>Sheet2!E38-Sheet6!$E39</f>
        <v>0.56569875594516328</v>
      </c>
      <c r="G39" s="187">
        <f>Sheet2!F38-Sheet6!$E39</f>
        <v>-0.15804280635268761</v>
      </c>
      <c r="H39" s="187">
        <f>Sheet2!G38-Sheet6!$E39</f>
        <v>0.14862107534317706</v>
      </c>
      <c r="I39" s="187">
        <f>Sheet2!H38-Sheet6!$E39</f>
        <v>0.3394579906762451</v>
      </c>
      <c r="J39" s="187">
        <f>Sheet2!I38-Sheet6!$E39</f>
        <v>3.9481202769991938E-2</v>
      </c>
      <c r="K39" s="187">
        <f>Sheet2!J38-Sheet6!$E39</f>
        <v>2.7852121663022728E-3</v>
      </c>
      <c r="L39" s="188">
        <f>Sheet2!K38-Sheet6!$E39</f>
        <v>0.89731022323797804</v>
      </c>
    </row>
    <row r="40" spans="1:12" ht="19" x14ac:dyDescent="0.25">
      <c r="A40" s="47">
        <v>41699</v>
      </c>
      <c r="B40" s="189">
        <f>Sheet6!C40-Sheet6!E40</f>
        <v>8.2905888300302044E-2</v>
      </c>
      <c r="C40" s="189">
        <f>Sheet2!B39-Sheet6!$E40</f>
        <v>-0.52289596695138607</v>
      </c>
      <c r="D40" s="189">
        <f>Sheet2!C39-Sheet6!$E40</f>
        <v>0.45592380109981262</v>
      </c>
      <c r="E40" s="189">
        <f>Sheet2!D39-Sheet6!$E40</f>
        <v>1.0732257021940566</v>
      </c>
      <c r="F40" s="189">
        <f>Sheet2!E39-Sheet6!$E40</f>
        <v>-0.30659768628953982</v>
      </c>
      <c r="G40" s="189">
        <f>Sheet2!F39-Sheet6!$E40</f>
        <v>0.48611016029692872</v>
      </c>
      <c r="H40" s="189">
        <f>Sheet2!G39-Sheet6!$E40</f>
        <v>0.93547067083630175</v>
      </c>
      <c r="I40" s="189">
        <f>Sheet2!H39-Sheet6!$E40</f>
        <v>-0.46657429250795696</v>
      </c>
      <c r="J40" s="189">
        <f>Sheet2!I39-Sheet6!$E40</f>
        <v>-0.59033448134355682</v>
      </c>
      <c r="K40" s="189">
        <f>Sheet2!J39-Sheet6!$E40</f>
        <v>0.27762380450274021</v>
      </c>
      <c r="L40" s="190">
        <f>Sheet2!K39-Sheet6!$E40</f>
        <v>-0.64598847034588613</v>
      </c>
    </row>
    <row r="41" spans="1:12" ht="19" x14ac:dyDescent="0.25">
      <c r="A41" s="47">
        <v>41730</v>
      </c>
      <c r="B41" s="187">
        <f>Sheet6!C41-Sheet6!E41</f>
        <v>7.4209562365810972E-2</v>
      </c>
      <c r="C41" s="187">
        <f>Sheet2!B40-Sheet6!$E41</f>
        <v>7.5063658796788307E-2</v>
      </c>
      <c r="D41" s="187">
        <f>Sheet2!C40-Sheet6!$E41</f>
        <v>-0.45155159361250785</v>
      </c>
      <c r="E41" s="187">
        <f>Sheet2!D40-Sheet6!$E41</f>
        <v>-0.92907149953600943</v>
      </c>
      <c r="F41" s="187">
        <f>Sheet2!E40-Sheet6!$E41</f>
        <v>-1.1173264895238089E-2</v>
      </c>
      <c r="G41" s="187">
        <f>Sheet2!F40-Sheet6!$E41</f>
        <v>-1.4310942448154114</v>
      </c>
      <c r="H41" s="187">
        <f>Sheet2!G40-Sheet6!$E41</f>
        <v>-0.17292561079173832</v>
      </c>
      <c r="I41" s="187">
        <f>Sheet2!H40-Sheet6!$E41</f>
        <v>-0.18493644000207746</v>
      </c>
      <c r="J41" s="187">
        <f>Sheet2!I40-Sheet6!$E41</f>
        <v>0.12744619092062634</v>
      </c>
      <c r="K41" s="187">
        <f>Sheet2!J40-Sheet6!$E41</f>
        <v>0.5955256645028153</v>
      </c>
      <c r="L41" s="188">
        <f>Sheet2!K40-Sheet6!$E41</f>
        <v>-0.14805228882065971</v>
      </c>
    </row>
    <row r="42" spans="1:12" ht="19" x14ac:dyDescent="0.25">
      <c r="A42" s="47">
        <v>41760</v>
      </c>
      <c r="B42" s="189">
        <f>Sheet6!C42-Sheet6!E42</f>
        <v>0.2520633854401641</v>
      </c>
      <c r="C42" s="189">
        <f>Sheet2!B41-Sheet6!$E42</f>
        <v>0.33016269001478821</v>
      </c>
      <c r="D42" s="189">
        <f>Sheet2!C41-Sheet6!$E42</f>
        <v>0.4449020090527977</v>
      </c>
      <c r="E42" s="189">
        <f>Sheet2!D41-Sheet6!$E42</f>
        <v>-0.99349665494312034</v>
      </c>
      <c r="F42" s="189">
        <f>Sheet2!E41-Sheet6!$E42</f>
        <v>0.53797844771238279</v>
      </c>
      <c r="G42" s="189">
        <f>Sheet2!F41-Sheet6!$E42</f>
        <v>-2.9999999999999997E-4</v>
      </c>
      <c r="H42" s="189">
        <f>Sheet2!G41-Sheet6!$E42</f>
        <v>0.16009410163273705</v>
      </c>
      <c r="I42" s="189">
        <f>Sheet2!H41-Sheet6!$E42</f>
        <v>0.4918867737292098</v>
      </c>
      <c r="J42" s="189">
        <f>Sheet2!I41-Sheet6!$E42</f>
        <v>3.4501627494831065E-2</v>
      </c>
      <c r="K42" s="189">
        <f>Sheet2!J41-Sheet6!$E42</f>
        <v>-0.44290272777007705</v>
      </c>
      <c r="L42" s="190">
        <f>Sheet2!K41-Sheet6!$E42</f>
        <v>0.65110902359026324</v>
      </c>
    </row>
    <row r="43" spans="1:12" ht="19" x14ac:dyDescent="0.25">
      <c r="A43" s="47">
        <v>41791</v>
      </c>
      <c r="B43" s="187">
        <f>Sheet6!C43-Sheet6!E43</f>
        <v>0.22849976138118275</v>
      </c>
      <c r="C43" s="187">
        <f>Sheet2!B42-Sheet6!$E43</f>
        <v>-9.0071211057316997E-2</v>
      </c>
      <c r="D43" s="187">
        <f>Sheet2!C42-Sheet6!$E43</f>
        <v>0.72476628262096066</v>
      </c>
      <c r="E43" s="187">
        <f>Sheet2!D42-Sheet6!$E43</f>
        <v>0.43737725587144594</v>
      </c>
      <c r="F43" s="187">
        <f>Sheet2!E42-Sheet6!$E43</f>
        <v>0.34149593670533962</v>
      </c>
      <c r="G43" s="187">
        <f>Sheet2!F42-Sheet6!$E43</f>
        <v>0.18209706100316</v>
      </c>
      <c r="H43" s="187">
        <f>Sheet2!G42-Sheet6!$E43</f>
        <v>0.30879177424622783</v>
      </c>
      <c r="I43" s="187">
        <f>Sheet2!H42-Sheet6!$E43</f>
        <v>-0.46795743896047437</v>
      </c>
      <c r="J43" s="187">
        <f>Sheet2!I42-Sheet6!$E43</f>
        <v>0.59667812141222543</v>
      </c>
      <c r="K43" s="187">
        <f>Sheet2!J42-Sheet6!$E43</f>
        <v>-0.19328391665129721</v>
      </c>
      <c r="L43" s="188">
        <f>Sheet2!K42-Sheet6!$E43</f>
        <v>0.13785074943212147</v>
      </c>
    </row>
    <row r="44" spans="1:12" ht="19" x14ac:dyDescent="0.25">
      <c r="A44" s="47">
        <v>41821</v>
      </c>
      <c r="B44" s="189">
        <f>Sheet6!C44-Sheet6!E44</f>
        <v>-0.18113835692750307</v>
      </c>
      <c r="C44" s="189">
        <f>Sheet2!B43-Sheet6!$E44</f>
        <v>-0.23174586317697282</v>
      </c>
      <c r="D44" s="189">
        <f>Sheet2!C43-Sheet6!$E44</f>
        <v>4.6346276020546931E-2</v>
      </c>
      <c r="E44" s="189">
        <f>Sheet2!D43-Sheet6!$E44</f>
        <v>1.1876554203935605</v>
      </c>
      <c r="F44" s="189">
        <f>Sheet2!E43-Sheet6!$E44</f>
        <v>0.17428099360162747</v>
      </c>
      <c r="G44" s="189">
        <f>Sheet2!F43-Sheet6!$E44</f>
        <v>-8.6204382661300524E-2</v>
      </c>
      <c r="H44" s="189">
        <f>Sheet2!G43-Sheet6!$E44</f>
        <v>0.41996409950113317</v>
      </c>
      <c r="I44" s="189">
        <f>Sheet2!H43-Sheet6!$E44</f>
        <v>0.11088853191435118</v>
      </c>
      <c r="J44" s="189">
        <f>Sheet2!I43-Sheet6!$E44</f>
        <v>-0.72677312054277066</v>
      </c>
      <c r="K44" s="189">
        <f>Sheet2!J43-Sheet6!$E44</f>
        <v>-0.23835505399183859</v>
      </c>
      <c r="L44" s="190">
        <f>Sheet2!K43-Sheet6!$E44</f>
        <v>-6.5174801624400189E-2</v>
      </c>
    </row>
    <row r="45" spans="1:12" ht="19" x14ac:dyDescent="0.25">
      <c r="A45" s="47">
        <v>41852</v>
      </c>
      <c r="B45" s="187">
        <f>Sheet6!C45-Sheet6!E45</f>
        <v>0.45168386073228312</v>
      </c>
      <c r="C45" s="187">
        <f>Sheet2!B44-Sheet6!$E45</f>
        <v>0.26924418004916656</v>
      </c>
      <c r="D45" s="187">
        <f>Sheet2!C44-Sheet6!$E45</f>
        <v>1.9902717682125662E-2</v>
      </c>
      <c r="E45" s="187">
        <f>Sheet2!D44-Sheet6!$E45</f>
        <v>0.4425770265870857</v>
      </c>
      <c r="F45" s="187">
        <f>Sheet2!E44-Sheet6!$E45</f>
        <v>0.60095815268558661</v>
      </c>
      <c r="G45" s="187">
        <f>Sheet2!F44-Sheet6!$E45</f>
        <v>0.66079995107330569</v>
      </c>
      <c r="H45" s="187">
        <f>Sheet2!G44-Sheet6!$E45</f>
        <v>0.63096127409758684</v>
      </c>
      <c r="I45" s="187">
        <f>Sheet2!H44-Sheet6!$E45</f>
        <v>0.28607249486330871</v>
      </c>
      <c r="J45" s="187">
        <f>Sheet2!I44-Sheet6!$E45</f>
        <v>0.34754331380813436</v>
      </c>
      <c r="K45" s="187">
        <f>Sheet2!J44-Sheet6!$E45</f>
        <v>0.31294636197912179</v>
      </c>
      <c r="L45" s="188">
        <f>Sheet2!K44-Sheet6!$E45</f>
        <v>0.22075042558361019</v>
      </c>
    </row>
    <row r="46" spans="1:12" ht="19" x14ac:dyDescent="0.25">
      <c r="A46" s="47">
        <v>41883</v>
      </c>
      <c r="B46" s="189">
        <f>Sheet6!C46-Sheet6!E46</f>
        <v>-0.1862963097680406</v>
      </c>
      <c r="C46" s="189">
        <f>Sheet2!B45-Sheet6!$E46</f>
        <v>3.8362044490385348E-2</v>
      </c>
      <c r="D46" s="189">
        <f>Sheet2!C45-Sheet6!$E46</f>
        <v>-0.3233913520348089</v>
      </c>
      <c r="E46" s="189">
        <f>Sheet2!D45-Sheet6!$E46</f>
        <v>-0.67202949388281041</v>
      </c>
      <c r="F46" s="189">
        <f>Sheet2!E45-Sheet6!$E46</f>
        <v>-0.11919370850898718</v>
      </c>
      <c r="G46" s="189">
        <f>Sheet2!F45-Sheet6!$E46</f>
        <v>0.71584623958931148</v>
      </c>
      <c r="H46" s="189">
        <f>Sheet2!G45-Sheet6!$E46</f>
        <v>0.32200475349258489</v>
      </c>
      <c r="I46" s="189">
        <f>Sheet2!H45-Sheet6!$E46</f>
        <v>-0.29929624401835314</v>
      </c>
      <c r="J46" s="189">
        <f>Sheet2!I45-Sheet6!$E46</f>
        <v>-0.98633435034022199</v>
      </c>
      <c r="K46" s="189">
        <f>Sheet2!J45-Sheet6!$E46</f>
        <v>0.2341144934392205</v>
      </c>
      <c r="L46" s="190">
        <f>Sheet2!K45-Sheet6!$E46</f>
        <v>1.6680075441244715</v>
      </c>
    </row>
    <row r="47" spans="1:12" ht="19" x14ac:dyDescent="0.25">
      <c r="A47" s="47">
        <v>41913</v>
      </c>
      <c r="B47" s="187">
        <f>Sheet6!C47-Sheet6!E47</f>
        <v>0.27838747410370668</v>
      </c>
      <c r="C47" s="187">
        <f>Sheet2!B46-Sheet6!$E47</f>
        <v>-2.9541789176244639E-2</v>
      </c>
      <c r="D47" s="187">
        <f>Sheet2!C46-Sheet6!$E47</f>
        <v>1.5868973737647816E-2</v>
      </c>
      <c r="E47" s="187">
        <f>Sheet2!D46-Sheet6!$E47</f>
        <v>1.1840047458960778</v>
      </c>
      <c r="F47" s="187">
        <f>Sheet2!E46-Sheet6!$E47</f>
        <v>0.34631045454644993</v>
      </c>
      <c r="G47" s="187">
        <f>Sheet2!F46-Sheet6!$E47</f>
        <v>0.11462068885250407</v>
      </c>
      <c r="H47" s="187">
        <f>Sheet2!G46-Sheet6!$E47</f>
        <v>0.15268630956892323</v>
      </c>
      <c r="I47" s="187">
        <f>Sheet2!H46-Sheet6!$E47</f>
        <v>1.5957489181643483</v>
      </c>
      <c r="J47" s="187">
        <f>Sheet2!I46-Sheet6!$E47</f>
        <v>-9.9671147720441305E-2</v>
      </c>
      <c r="K47" s="187">
        <f>Sheet2!J46-Sheet6!$E47</f>
        <v>-3.1410633206635535E-2</v>
      </c>
      <c r="L47" s="188">
        <f>Sheet2!K46-Sheet6!$E47</f>
        <v>0.50714361747997017</v>
      </c>
    </row>
    <row r="48" spans="1:12" ht="19" x14ac:dyDescent="0.25">
      <c r="A48" s="47">
        <v>41944</v>
      </c>
      <c r="B48" s="189">
        <f>Sheet6!C48-Sheet6!E48</f>
        <v>0.29435301280939619</v>
      </c>
      <c r="C48" s="189">
        <f>Sheet2!B47-Sheet6!$E48</f>
        <v>0.94399400804814959</v>
      </c>
      <c r="D48" s="189">
        <f>Sheet2!C47-Sheet6!$E48</f>
        <v>0.8972496838364411</v>
      </c>
      <c r="E48" s="189">
        <f>Sheet2!D47-Sheet6!$E48</f>
        <v>1.3137744197780001</v>
      </c>
      <c r="F48" s="189">
        <f>Sheet2!E47-Sheet6!$E48</f>
        <v>0.54551272072204327</v>
      </c>
      <c r="G48" s="189">
        <f>Sheet2!F47-Sheet6!$E48</f>
        <v>-8.3968852884395706E-2</v>
      </c>
      <c r="H48" s="189">
        <f>Sheet2!G47-Sheet6!$E48</f>
        <v>0.21976177893234528</v>
      </c>
      <c r="I48" s="189">
        <f>Sheet2!H47-Sheet6!$E48</f>
        <v>0.52566527396592544</v>
      </c>
      <c r="J48" s="189">
        <f>Sheet2!I47-Sheet6!$E48</f>
        <v>0.77574614427763844</v>
      </c>
      <c r="K48" s="189">
        <f>Sheet2!J47-Sheet6!$E48</f>
        <v>1.7731202732651068</v>
      </c>
      <c r="L48" s="190">
        <f>Sheet2!K47-Sheet6!$E48</f>
        <v>0.81569708832327936</v>
      </c>
    </row>
    <row r="49" spans="1:12" ht="19" x14ac:dyDescent="0.25">
      <c r="A49" s="47">
        <v>41974</v>
      </c>
      <c r="B49" s="187">
        <f>Sheet6!C49-Sheet6!E49</f>
        <v>-5.0632144750333528E-2</v>
      </c>
      <c r="C49" s="187">
        <f>Sheet2!B48-Sheet6!$E49</f>
        <v>0.41385266003975762</v>
      </c>
      <c r="D49" s="187">
        <f>Sheet2!C48-Sheet6!$E49</f>
        <v>0.17383322935428344</v>
      </c>
      <c r="E49" s="187">
        <f>Sheet2!D48-Sheet6!$E49</f>
        <v>-0.82983848567530605</v>
      </c>
      <c r="F49" s="187">
        <f>Sheet2!E48-Sheet6!$E49</f>
        <v>-0.31279362124580623</v>
      </c>
      <c r="G49" s="187">
        <f>Sheet2!F48-Sheet6!$E49</f>
        <v>0.59821950741762042</v>
      </c>
      <c r="H49" s="187">
        <f>Sheet2!G48-Sheet6!$E49</f>
        <v>-0.26819239225612246</v>
      </c>
      <c r="I49" s="187">
        <f>Sheet2!H48-Sheet6!$E49</f>
        <v>-0.15571620450527071</v>
      </c>
      <c r="J49" s="187">
        <f>Sheet2!I48-Sheet6!$E49</f>
        <v>0.53088930145533042</v>
      </c>
      <c r="K49" s="187">
        <f>Sheet2!J48-Sheet6!$E49</f>
        <v>-0.2279228467928707</v>
      </c>
      <c r="L49" s="188">
        <f>Sheet2!K48-Sheet6!$E49</f>
        <v>-0.3798635512201407</v>
      </c>
    </row>
    <row r="50" spans="1:12" ht="19" x14ac:dyDescent="0.25">
      <c r="A50" s="47">
        <v>42005</v>
      </c>
      <c r="B50" s="189">
        <f>Sheet6!C50-Sheet6!E50</f>
        <v>-0.37254016465102835</v>
      </c>
      <c r="C50" s="189">
        <f>Sheet2!B49-Sheet6!$E50</f>
        <v>-0.7094875238191124</v>
      </c>
      <c r="D50" s="189">
        <f>Sheet2!C49-Sheet6!$E50</f>
        <v>0.80141028875254594</v>
      </c>
      <c r="E50" s="189">
        <f>Sheet2!D49-Sheet6!$E50</f>
        <v>1.6531022058208193</v>
      </c>
      <c r="F50" s="189">
        <f>Sheet2!E49-Sheet6!$E50</f>
        <v>-0.20614845606717902</v>
      </c>
      <c r="G50" s="189">
        <f>Sheet2!F49-Sheet6!$E50</f>
        <v>-1.8082332962515484</v>
      </c>
      <c r="H50" s="189">
        <f>Sheet2!G49-Sheet6!$E50</f>
        <v>-1.5630173276361241</v>
      </c>
      <c r="I50" s="189">
        <f>Sheet2!H49-Sheet6!$E50</f>
        <v>-0.57525973776365202</v>
      </c>
      <c r="J50" s="189">
        <f>Sheet2!I49-Sheet6!$E50</f>
        <v>-0.68718977618517985</v>
      </c>
      <c r="K50" s="189">
        <f>Sheet2!J49-Sheet6!$E50</f>
        <v>-5.9468280336268838E-2</v>
      </c>
      <c r="L50" s="190">
        <f>Sheet2!K49-Sheet6!$E50</f>
        <v>-0.45368798168463143</v>
      </c>
    </row>
    <row r="51" spans="1:12" ht="19" x14ac:dyDescent="0.25">
      <c r="A51" s="47">
        <v>42036</v>
      </c>
      <c r="B51" s="187">
        <f>Sheet6!C51-Sheet6!E51</f>
        <v>0.65863006872214813</v>
      </c>
      <c r="C51" s="187">
        <f>Sheet2!B50-Sheet6!$E51</f>
        <v>0.85675459534481979</v>
      </c>
      <c r="D51" s="187">
        <f>Sheet2!C50-Sheet6!$E51</f>
        <v>0.81701157289125848</v>
      </c>
      <c r="E51" s="187">
        <f>Sheet2!D50-Sheet6!$E51</f>
        <v>2.5915896182194236</v>
      </c>
      <c r="F51" s="187">
        <f>Sheet2!E50-Sheet6!$E51</f>
        <v>0.8663909188853115</v>
      </c>
      <c r="G51" s="187">
        <f>Sheet2!F50-Sheet6!$E51</f>
        <v>0.52269420847570613</v>
      </c>
      <c r="H51" s="187">
        <f>Sheet2!G50-Sheet6!$E51</f>
        <v>1.0246713445916487</v>
      </c>
      <c r="I51" s="187">
        <f>Sheet2!H50-Sheet6!$E51</f>
        <v>1.2102890378122155</v>
      </c>
      <c r="J51" s="187">
        <f>Sheet2!I50-Sheet6!$E51</f>
        <v>1.7252418736142636</v>
      </c>
      <c r="K51" s="187">
        <f>Sheet2!J50-Sheet6!$E51</f>
        <v>-0.14835065533011829</v>
      </c>
      <c r="L51" s="188">
        <f>Sheet2!K50-Sheet6!$E51</f>
        <v>0.63341843527181185</v>
      </c>
    </row>
    <row r="52" spans="1:12" ht="19" x14ac:dyDescent="0.25">
      <c r="A52" s="47">
        <v>42064</v>
      </c>
      <c r="B52" s="189">
        <f>Sheet6!C52-Sheet6!E52</f>
        <v>-0.20900267284390686</v>
      </c>
      <c r="C52" s="189">
        <f>Sheet2!B51-Sheet6!$E52</f>
        <v>0.48758844017344527</v>
      </c>
      <c r="D52" s="189">
        <f>Sheet2!C51-Sheet6!$E52</f>
        <v>0.19942788654745089</v>
      </c>
      <c r="E52" s="189">
        <f>Sheet2!D51-Sheet6!$E52</f>
        <v>-0.65279194915254302</v>
      </c>
      <c r="F52" s="189">
        <f>Sheet2!E51-Sheet6!$E52</f>
        <v>-0.31021420358481111</v>
      </c>
      <c r="G52" s="189">
        <f>Sheet2!F51-Sheet6!$E52</f>
        <v>-0.31903678470429242</v>
      </c>
      <c r="H52" s="189">
        <f>Sheet2!G51-Sheet6!$E52</f>
        <v>-0.7940391758182842</v>
      </c>
      <c r="I52" s="189">
        <f>Sheet2!H51-Sheet6!$E52</f>
        <v>-0.49819198846867174</v>
      </c>
      <c r="J52" s="189">
        <f>Sheet2!I51-Sheet6!$E52</f>
        <v>6.0859655049640388E-2</v>
      </c>
      <c r="K52" s="189">
        <f>Sheet2!J51-Sheet6!$E52</f>
        <v>-0.24045421978009088</v>
      </c>
      <c r="L52" s="190">
        <f>Sheet2!K51-Sheet6!$E52</f>
        <v>0.43232980343291094</v>
      </c>
    </row>
    <row r="53" spans="1:12" ht="19" x14ac:dyDescent="0.25">
      <c r="A53" s="47">
        <v>42095</v>
      </c>
      <c r="B53" s="187">
        <f>Sheet6!C53-Sheet6!E53</f>
        <v>0.10219915251778466</v>
      </c>
      <c r="C53" s="187">
        <f>Sheet2!B52-Sheet6!$E53</f>
        <v>-0.13325433562450606</v>
      </c>
      <c r="D53" s="187">
        <f>Sheet2!C52-Sheet6!$E53</f>
        <v>0.56510465004337174</v>
      </c>
      <c r="E53" s="187">
        <f>Sheet2!D52-Sheet6!$E53</f>
        <v>1.5458792925343816</v>
      </c>
      <c r="F53" s="187">
        <f>Sheet2!E52-Sheet6!$E53</f>
        <v>0.25875972382366441</v>
      </c>
      <c r="G53" s="187">
        <f>Sheet2!F52-Sheet6!$E53</f>
        <v>0.45984332737433664</v>
      </c>
      <c r="H53" s="187">
        <f>Sheet2!G52-Sheet6!$E53</f>
        <v>2.3550888365611415</v>
      </c>
      <c r="I53" s="187">
        <f>Sheet2!H52-Sheet6!$E53</f>
        <v>0.53056570992731256</v>
      </c>
      <c r="J53" s="187">
        <f>Sheet2!I52-Sheet6!$E53</f>
        <v>-0.68873820513517725</v>
      </c>
      <c r="K53" s="187">
        <f>Sheet2!J52-Sheet6!$E53</f>
        <v>-0.54441651248055856</v>
      </c>
      <c r="L53" s="188">
        <f>Sheet2!K52-Sheet6!$E53</f>
        <v>-0.17826475764095229</v>
      </c>
    </row>
    <row r="54" spans="1:12" ht="19" x14ac:dyDescent="0.25">
      <c r="A54" s="47">
        <v>42125</v>
      </c>
      <c r="B54" s="189">
        <f>Sheet6!C54-Sheet6!E54</f>
        <v>0.12586726254009736</v>
      </c>
      <c r="C54" s="189">
        <f>Sheet2!B53-Sheet6!$E54</f>
        <v>0.57207995088795527</v>
      </c>
      <c r="D54" s="189">
        <f>Sheet2!C53-Sheet6!$E54</f>
        <v>0.5760079182969029</v>
      </c>
      <c r="E54" s="189">
        <f>Sheet2!D53-Sheet6!$E54</f>
        <v>0.27387009923916739</v>
      </c>
      <c r="F54" s="189">
        <f>Sheet2!E53-Sheet6!$E54</f>
        <v>0.26978432166970978</v>
      </c>
      <c r="G54" s="189">
        <f>Sheet2!F53-Sheet6!$E54</f>
        <v>0.42934622467254058</v>
      </c>
      <c r="H54" s="189">
        <f>Sheet2!G53-Sheet6!$E54</f>
        <v>-0.43917262833708581</v>
      </c>
      <c r="I54" s="189">
        <f>Sheet2!H53-Sheet6!$E54</f>
        <v>0.29519129566168956</v>
      </c>
      <c r="J54" s="189">
        <f>Sheet2!I53-Sheet6!$E54</f>
        <v>0.31143367949082079</v>
      </c>
      <c r="K54" s="189">
        <f>Sheet2!J53-Sheet6!$E54</f>
        <v>-0.58119711134463015</v>
      </c>
      <c r="L54" s="190">
        <f>Sheet2!K53-Sheet6!$E54</f>
        <v>0.34355680706344294</v>
      </c>
    </row>
    <row r="55" spans="1:12" ht="19" x14ac:dyDescent="0.25">
      <c r="A55" s="47">
        <v>42156</v>
      </c>
      <c r="B55" s="187">
        <f>Sheet6!C55-Sheet6!E55</f>
        <v>-0.25224127427765919</v>
      </c>
      <c r="C55" s="187">
        <f>Sheet2!B54-Sheet6!$E55</f>
        <v>9.2360676434773067E-2</v>
      </c>
      <c r="D55" s="187">
        <f>Sheet2!C54-Sheet6!$E55</f>
        <v>0.42267209661702121</v>
      </c>
      <c r="E55" s="187">
        <f>Sheet2!D54-Sheet6!$E55</f>
        <v>-0.98198913324708959</v>
      </c>
      <c r="F55" s="187">
        <f>Sheet2!E54-Sheet6!$E55</f>
        <v>-0.32504442351952112</v>
      </c>
      <c r="G55" s="187">
        <f>Sheet2!F54-Sheet6!$E55</f>
        <v>0.37808456819287151</v>
      </c>
      <c r="H55" s="187">
        <f>Sheet2!G54-Sheet6!$E55</f>
        <v>-0.62060499700056426</v>
      </c>
      <c r="I55" s="187">
        <f>Sheet2!H54-Sheet6!$E55</f>
        <v>0.15858167985884442</v>
      </c>
      <c r="J55" s="187">
        <f>Sheet2!I54-Sheet6!$E55</f>
        <v>-0.88083322795565455</v>
      </c>
      <c r="K55" s="187">
        <f>Sheet2!J54-Sheet6!$E55</f>
        <v>-0.46742474668537803</v>
      </c>
      <c r="L55" s="188">
        <f>Sheet2!K54-Sheet6!$E55</f>
        <v>0.78419243292876462</v>
      </c>
    </row>
    <row r="56" spans="1:12" ht="19" x14ac:dyDescent="0.25">
      <c r="A56" s="47">
        <v>42186</v>
      </c>
      <c r="B56" s="189">
        <f>Sheet6!C56-Sheet6!E56</f>
        <v>0.23632447916010271</v>
      </c>
      <c r="C56" s="189">
        <f>Sheet2!B55-Sheet6!$E56</f>
        <v>0.78429178434692681</v>
      </c>
      <c r="D56" s="189">
        <f>Sheet2!C55-Sheet6!$E56</f>
        <v>0.96398566086183402</v>
      </c>
      <c r="E56" s="189">
        <f>Sheet2!D55-Sheet6!$E56</f>
        <v>-1.7486939658574594E-2</v>
      </c>
      <c r="F56" s="189">
        <f>Sheet2!E55-Sheet6!$E56</f>
        <v>0.57521005708062867</v>
      </c>
      <c r="G56" s="189">
        <f>Sheet2!F55-Sheet6!$E56</f>
        <v>0.64357985010970453</v>
      </c>
      <c r="H56" s="189">
        <f>Sheet2!G55-Sheet6!$E56</f>
        <v>0.69251404678539896</v>
      </c>
      <c r="I56" s="189">
        <f>Sheet2!H55-Sheet6!$E56</f>
        <v>0.5026310081348575</v>
      </c>
      <c r="J56" s="189">
        <f>Sheet2!I55-Sheet6!$E56</f>
        <v>-0.53834791873604204</v>
      </c>
      <c r="K56" s="189">
        <f>Sheet2!J55-Sheet6!$E56</f>
        <v>0.17706398375463486</v>
      </c>
      <c r="L56" s="190">
        <f>Sheet2!K55-Sheet6!$E56</f>
        <v>0.79927028467728722</v>
      </c>
    </row>
    <row r="57" spans="1:12" ht="19" x14ac:dyDescent="0.25">
      <c r="A57" s="47">
        <v>42217</v>
      </c>
      <c r="B57" s="187">
        <f>Sheet6!C57-Sheet6!E57</f>
        <v>-0.75099965548710945</v>
      </c>
      <c r="C57" s="187">
        <f>Sheet2!B56-Sheet6!$E57</f>
        <v>-1.028835526730232</v>
      </c>
      <c r="D57" s="187">
        <f>Sheet2!C56-Sheet6!$E57</f>
        <v>-0.66704189221252119</v>
      </c>
      <c r="E57" s="187">
        <f>Sheet2!D56-Sheet6!$E57</f>
        <v>-1.087860264550266</v>
      </c>
      <c r="F57" s="187">
        <f>Sheet2!E56-Sheet6!$E57</f>
        <v>-0.81896642201910175</v>
      </c>
      <c r="G57" s="187">
        <f>Sheet2!F56-Sheet6!$E57</f>
        <v>-1.033589862582543</v>
      </c>
      <c r="H57" s="187">
        <f>Sheet2!G56-Sheet6!$E57</f>
        <v>-0.81716509799196868</v>
      </c>
      <c r="I57" s="187">
        <f>Sheet2!H56-Sheet6!$E57</f>
        <v>-0.60044691194630118</v>
      </c>
      <c r="J57" s="187">
        <f>Sheet2!I56-Sheet6!$E57</f>
        <v>-0.78835396765517163</v>
      </c>
      <c r="K57" s="187">
        <f>Sheet2!J56-Sheet6!$E57</f>
        <v>-1.2087004917622048</v>
      </c>
      <c r="L57" s="188">
        <f>Sheet2!K56-Sheet6!$E57</f>
        <v>-0.36142560015363956</v>
      </c>
    </row>
    <row r="58" spans="1:12" ht="19" x14ac:dyDescent="0.25">
      <c r="A58" s="47">
        <v>42248</v>
      </c>
      <c r="B58" s="189">
        <f>Sheet6!C58-Sheet6!E58</f>
        <v>-0.31736383545112512</v>
      </c>
      <c r="C58" s="189">
        <f>Sheet2!B57-Sheet6!$E58</f>
        <v>0.50785609394424192</v>
      </c>
      <c r="D58" s="189">
        <f>Sheet2!C57-Sheet6!$E58</f>
        <v>0.50151439780342055</v>
      </c>
      <c r="E58" s="189">
        <f>Sheet2!D57-Sheet6!$E58</f>
        <v>-0.59586114833936465</v>
      </c>
      <c r="F58" s="189">
        <f>Sheet2!E57-Sheet6!$E58</f>
        <v>-0.29340421701296615</v>
      </c>
      <c r="G58" s="189">
        <f>Sheet2!F57-Sheet6!$E58</f>
        <v>-0.55819041131148828</v>
      </c>
      <c r="H58" s="189">
        <f>Sheet2!G57-Sheet6!$E58</f>
        <v>0.28447318516267639</v>
      </c>
      <c r="I58" s="189">
        <f>Sheet2!H57-Sheet6!$E58</f>
        <v>-0.29235307007508793</v>
      </c>
      <c r="J58" s="189">
        <f>Sheet2!I57-Sheet6!$E58</f>
        <v>0.2363616931476934</v>
      </c>
      <c r="K58" s="189">
        <f>Sheet2!J57-Sheet6!$E58</f>
        <v>0.10241989037308563</v>
      </c>
      <c r="L58" s="190">
        <f>Sheet2!K57-Sheet6!$E58</f>
        <v>1.2047826733787896</v>
      </c>
    </row>
    <row r="59" spans="1:12" ht="19" x14ac:dyDescent="0.25">
      <c r="A59" s="47">
        <v>42278</v>
      </c>
      <c r="B59" s="187">
        <f>Sheet6!C59-Sheet6!E59</f>
        <v>0.99511694067280398</v>
      </c>
      <c r="C59" s="187">
        <f>Sheet2!B58-Sheet6!$E59</f>
        <v>1.09111566515916</v>
      </c>
      <c r="D59" s="187">
        <f>Sheet2!C58-Sheet6!$E59</f>
        <v>1.2090325742957893</v>
      </c>
      <c r="E59" s="187">
        <f>Sheet2!D58-Sheet6!$E59</f>
        <v>1.909524081632652</v>
      </c>
      <c r="F59" s="187">
        <f>Sheet2!E58-Sheet6!$E59</f>
        <v>1.3962192215894147</v>
      </c>
      <c r="G59" s="187">
        <f>Sheet2!F58-Sheet6!$E59</f>
        <v>0.96519337900161251</v>
      </c>
      <c r="H59" s="187">
        <f>Sheet2!G58-Sheet6!$E59</f>
        <v>2.2713491594011925</v>
      </c>
      <c r="I59" s="187">
        <f>Sheet2!H58-Sheet6!$E59</f>
        <v>1.1804119066589278</v>
      </c>
      <c r="J59" s="187">
        <f>Sheet2!I58-Sheet6!$E59</f>
        <v>2.1257105810606598</v>
      </c>
      <c r="K59" s="187">
        <f>Sheet2!J58-Sheet6!$E59</f>
        <v>-1.4072187674580974</v>
      </c>
      <c r="L59" s="188">
        <f>Sheet2!K58-Sheet6!$E59</f>
        <v>0.81827758721894384</v>
      </c>
    </row>
    <row r="60" spans="1:12" ht="19" x14ac:dyDescent="0.25">
      <c r="A60" s="47">
        <v>42309</v>
      </c>
      <c r="B60" s="189">
        <f>Sheet6!C60-Sheet6!E60</f>
        <v>4.3595567867016696E-3</v>
      </c>
      <c r="C60" s="189">
        <f>Sheet2!B59-Sheet6!$E60</f>
        <v>0.12949475343925568</v>
      </c>
      <c r="D60" s="189">
        <f>Sheet2!C59-Sheet6!$E60</f>
        <v>-0.22800854120851485</v>
      </c>
      <c r="E60" s="189">
        <f>Sheet2!D59-Sheet6!$E60</f>
        <v>-1.0495873239436606</v>
      </c>
      <c r="F60" s="189">
        <f>Sheet2!E59-Sheet6!$E60</f>
        <v>7.1360110221311085E-2</v>
      </c>
      <c r="G60" s="189">
        <f>Sheet2!F59-Sheet6!$E60</f>
        <v>0.46313932448157719</v>
      </c>
      <c r="H60" s="189">
        <f>Sheet2!G59-Sheet6!$E60</f>
        <v>0.3881187872316994</v>
      </c>
      <c r="I60" s="189">
        <f>Sheet2!H59-Sheet6!$E60</f>
        <v>-0.11115505805035616</v>
      </c>
      <c r="J60" s="189">
        <f>Sheet2!I59-Sheet6!$E60</f>
        <v>0.44172500511339635</v>
      </c>
      <c r="K60" s="189">
        <f>Sheet2!J59-Sheet6!$E60</f>
        <v>0.33373034859212375</v>
      </c>
      <c r="L60" s="190">
        <f>Sheet2!K59-Sheet6!$E60</f>
        <v>0.11277805046748449</v>
      </c>
    </row>
    <row r="61" spans="1:12" ht="19" x14ac:dyDescent="0.25">
      <c r="A61" s="47">
        <v>42339</v>
      </c>
      <c r="B61" s="187">
        <f>Sheet6!C61-Sheet6!E61</f>
        <v>-0.21184238049230517</v>
      </c>
      <c r="C61" s="187">
        <f>Sheet2!B60-Sheet6!$E61</f>
        <v>-0.30589941917131075</v>
      </c>
      <c r="D61" s="187">
        <f>Sheet2!C60-Sheet6!$E61</f>
        <v>-0.22932829730778534</v>
      </c>
      <c r="E61" s="187">
        <f>Sheet2!D60-Sheet6!$E61</f>
        <v>-0.60796101851851925</v>
      </c>
      <c r="F61" s="187">
        <f>Sheet2!E60-Sheet6!$E61</f>
        <v>-0.22880638074339874</v>
      </c>
      <c r="G61" s="187">
        <f>Sheet2!F60-Sheet6!$E61</f>
        <v>-0.4145636832151825</v>
      </c>
      <c r="H61" s="187">
        <f>Sheet2!G60-Sheet6!$E61</f>
        <v>0.33057780440998202</v>
      </c>
      <c r="I61" s="187">
        <f>Sheet2!H60-Sheet6!$E61</f>
        <v>-7.0107527548466456E-2</v>
      </c>
      <c r="J61" s="187">
        <f>Sheet2!I60-Sheet6!$E61</f>
        <v>-0.72744479459395495</v>
      </c>
      <c r="K61" s="187">
        <f>Sheet2!J60-Sheet6!$E61</f>
        <v>0.50021817057173112</v>
      </c>
      <c r="L61" s="188">
        <f>Sheet2!K60-Sheet6!$E61</f>
        <v>-0.66189884807668398</v>
      </c>
    </row>
    <row r="62" spans="1:12" ht="19" x14ac:dyDescent="0.25">
      <c r="A62" s="47">
        <v>42370</v>
      </c>
      <c r="B62" s="189">
        <f>Sheet6!C62-Sheet6!E62</f>
        <v>-0.61182413378083467</v>
      </c>
      <c r="C62" s="189">
        <f>Sheet2!B61-Sheet6!$E62</f>
        <v>0.11642459857545273</v>
      </c>
      <c r="D62" s="189">
        <f>Sheet2!C61-Sheet6!$E62</f>
        <v>0.14492683204621859</v>
      </c>
      <c r="E62" s="189">
        <f>Sheet2!D61-Sheet6!$E62</f>
        <v>-0.35895382543869025</v>
      </c>
      <c r="F62" s="189">
        <f>Sheet2!E61-Sheet6!$E62</f>
        <v>-0.7981349696761838</v>
      </c>
      <c r="G62" s="189">
        <f>Sheet2!F61-Sheet6!$E62</f>
        <v>-1.8926181110262237</v>
      </c>
      <c r="H62" s="189">
        <f>Sheet2!G61-Sheet6!$E62</f>
        <v>-8.7354338444259549E-2</v>
      </c>
      <c r="I62" s="189">
        <f>Sheet2!H61-Sheet6!$E62</f>
        <v>-1.0297040120334409</v>
      </c>
      <c r="J62" s="189">
        <f>Sheet2!I61-Sheet6!$E62</f>
        <v>-1.4347521137552779</v>
      </c>
      <c r="K62" s="189">
        <f>Sheet2!J61-Sheet6!$E62</f>
        <v>1.0963500149960643</v>
      </c>
      <c r="L62" s="190">
        <f>Sheet2!K61-Sheet6!$E62</f>
        <v>-6.8217636378441138E-2</v>
      </c>
    </row>
    <row r="63" spans="1:12" ht="19" x14ac:dyDescent="0.25">
      <c r="A63" s="47">
        <v>42401</v>
      </c>
      <c r="B63" s="187">
        <f>Sheet6!C63-Sheet6!E63</f>
        <v>-5.262026306023973E-2</v>
      </c>
      <c r="C63" s="187">
        <f>Sheet2!B62-Sheet6!$E63</f>
        <v>-0.60342170129876194</v>
      </c>
      <c r="D63" s="187">
        <f>Sheet2!C62-Sheet6!$E63</f>
        <v>-0.50859477130183595</v>
      </c>
      <c r="E63" s="187">
        <f>Sheet2!D62-Sheet6!$E63</f>
        <v>-1.3900137264210117</v>
      </c>
      <c r="F63" s="187">
        <f>Sheet2!E62-Sheet6!$E63</f>
        <v>-0.19092329094442187</v>
      </c>
      <c r="G63" s="187">
        <f>Sheet2!F62-Sheet6!$E63</f>
        <v>-1.3779015926949472</v>
      </c>
      <c r="H63" s="187">
        <f>Sheet2!G62-Sheet6!$E63</f>
        <v>-0.92012576659545364</v>
      </c>
      <c r="I63" s="187">
        <f>Sheet2!H62-Sheet6!$E63</f>
        <v>-0.2639977624827739</v>
      </c>
      <c r="J63" s="187">
        <f>Sheet2!I62-Sheet6!$E63</f>
        <v>-8.4053022789336379E-2</v>
      </c>
      <c r="K63" s="187">
        <f>Sheet2!J62-Sheet6!$E63</f>
        <v>-6.6986279238497037E-3</v>
      </c>
      <c r="L63" s="188">
        <f>Sheet2!K62-Sheet6!$E63</f>
        <v>-8.4358908020174345E-2</v>
      </c>
    </row>
    <row r="64" spans="1:12" ht="19" x14ac:dyDescent="0.25">
      <c r="A64" s="47">
        <v>42430</v>
      </c>
      <c r="B64" s="189">
        <f>Sheet6!C64-Sheet6!E64</f>
        <v>0.78996330462729314</v>
      </c>
      <c r="C64" s="189">
        <f>Sheet2!B63-Sheet6!$E64</f>
        <v>1.8101592069489667</v>
      </c>
      <c r="D64" s="189">
        <f>Sheet2!C63-Sheet6!$E64</f>
        <v>0.3454553686510573</v>
      </c>
      <c r="E64" s="189">
        <f>Sheet2!D63-Sheet6!$E64</f>
        <v>2.6117051035210657</v>
      </c>
      <c r="F64" s="189">
        <f>Sheet2!E63-Sheet6!$E64</f>
        <v>0.7824586643300655</v>
      </c>
      <c r="G64" s="189">
        <f>Sheet2!F63-Sheet6!$E64</f>
        <v>0.95653742141261389</v>
      </c>
      <c r="H64" s="189">
        <f>Sheet2!G63-Sheet6!$E64</f>
        <v>1.1175396984383068</v>
      </c>
      <c r="I64" s="189">
        <f>Sheet2!H63-Sheet6!$E64</f>
        <v>1.0445490809214986</v>
      </c>
      <c r="J64" s="189">
        <f>Sheet2!I63-Sheet6!$E64</f>
        <v>0.80921466233549721</v>
      </c>
      <c r="K64" s="189">
        <f>Sheet2!J63-Sheet6!$E64</f>
        <v>0.3869791988544653</v>
      </c>
      <c r="L64" s="190">
        <f>Sheet2!K63-Sheet6!$E64</f>
        <v>-2.5309227746695986E-2</v>
      </c>
    </row>
    <row r="65" spans="1:12" ht="19" x14ac:dyDescent="0.25">
      <c r="A65" s="47">
        <v>42461</v>
      </c>
      <c r="B65" s="187">
        <f>Sheet6!C65-Sheet6!E65</f>
        <v>3.0462437880511159E-2</v>
      </c>
      <c r="C65" s="187">
        <f>Sheet2!B64-Sheet6!$E65</f>
        <v>-0.25981659951683844</v>
      </c>
      <c r="D65" s="187">
        <f>Sheet2!C64-Sheet6!$E65</f>
        <v>-0.69941637663571377</v>
      </c>
      <c r="E65" s="187">
        <f>Sheet2!D64-Sheet6!$E65</f>
        <v>-0.75776160014897287</v>
      </c>
      <c r="F65" s="187">
        <f>Sheet2!E64-Sheet6!$E65</f>
        <v>-0.34988453663146113</v>
      </c>
      <c r="G65" s="187">
        <f>Sheet2!F64-Sheet6!$E65</f>
        <v>0.9703188116762671</v>
      </c>
      <c r="H65" s="187">
        <f>Sheet2!G64-Sheet6!$E65</f>
        <v>-1.166515697532472</v>
      </c>
      <c r="I65" s="187">
        <f>Sheet2!H64-Sheet6!$E65</f>
        <v>0.31426224345435538</v>
      </c>
      <c r="J65" s="187">
        <f>Sheet2!I64-Sheet6!$E65</f>
        <v>0.29160149584096628</v>
      </c>
      <c r="K65" s="187">
        <f>Sheet2!J64-Sheet6!$E65</f>
        <v>-0.1990321488090776</v>
      </c>
      <c r="L65" s="188">
        <f>Sheet2!K64-Sheet6!$E65</f>
        <v>-0.46616619643456247</v>
      </c>
    </row>
    <row r="66" spans="1:12" ht="19" x14ac:dyDescent="0.25">
      <c r="A66" s="47">
        <v>42491</v>
      </c>
      <c r="B66" s="189">
        <f>Sheet6!C66-Sheet6!E66</f>
        <v>0.18106580206265332</v>
      </c>
      <c r="C66" s="189">
        <f>Sheet2!B65-Sheet6!$E66</f>
        <v>0.7628605899708617</v>
      </c>
      <c r="D66" s="189">
        <f>Sheet2!C65-Sheet6!$E66</f>
        <v>-0.28879826858747493</v>
      </c>
      <c r="E66" s="189">
        <f>Sheet2!D65-Sheet6!$E66</f>
        <v>1.8693696680497915</v>
      </c>
      <c r="F66" s="189">
        <f>Sheet2!E65-Sheet6!$E66</f>
        <v>0.52157165701664476</v>
      </c>
      <c r="G66" s="189">
        <f>Sheet2!F65-Sheet6!$E66</f>
        <v>0.18673351104302449</v>
      </c>
      <c r="H66" s="189">
        <f>Sheet2!G65-Sheet6!$E66</f>
        <v>0.7503291617100073</v>
      </c>
      <c r="I66" s="189">
        <f>Sheet2!H65-Sheet6!$E66</f>
        <v>-0.11374946153074472</v>
      </c>
      <c r="J66" s="189">
        <f>Sheet2!I65-Sheet6!$E66</f>
        <v>-0.19905789139678121</v>
      </c>
      <c r="K66" s="189">
        <f>Sheet2!J65-Sheet6!$E66</f>
        <v>0.69882860435127048</v>
      </c>
      <c r="L66" s="190">
        <f>Sheet2!K65-Sheet6!$E66</f>
        <v>-0.76020774710697758</v>
      </c>
    </row>
    <row r="67" spans="1:12" ht="19" x14ac:dyDescent="0.25">
      <c r="A67" s="47">
        <v>42522</v>
      </c>
      <c r="B67" s="187">
        <f>Sheet6!C67-Sheet6!E67</f>
        <v>8.450160471162687E-3</v>
      </c>
      <c r="C67" s="187">
        <f>Sheet2!B66-Sheet6!$E67</f>
        <v>-0.5753967861848277</v>
      </c>
      <c r="D67" s="187">
        <f>Sheet2!C66-Sheet6!$E67</f>
        <v>0.52873133580495346</v>
      </c>
      <c r="E67" s="187">
        <f>Sheet2!D66-Sheet6!$E67</f>
        <v>0.63929987646159891</v>
      </c>
      <c r="F67" s="187">
        <f>Sheet2!E66-Sheet6!$E67</f>
        <v>-0.30698897760841976</v>
      </c>
      <c r="G67" s="187">
        <f>Sheet2!F66-Sheet6!$E67</f>
        <v>-1.2357482459087203</v>
      </c>
      <c r="H67" s="187">
        <f>Sheet2!G66-Sheet6!$E67</f>
        <v>-0.33578538380196948</v>
      </c>
      <c r="I67" s="187">
        <f>Sheet2!H66-Sheet6!$E67</f>
        <v>-0.98350362941230807</v>
      </c>
      <c r="J67" s="187">
        <f>Sheet2!I66-Sheet6!$E67</f>
        <v>-1.1457010270817245</v>
      </c>
      <c r="K67" s="187">
        <f>Sheet2!J66-Sheet6!$E67</f>
        <v>0.46792760347482193</v>
      </c>
      <c r="L67" s="188">
        <f>Sheet2!K66-Sheet6!$E67</f>
        <v>-6.8263043745481929E-3</v>
      </c>
    </row>
    <row r="68" spans="1:12" ht="19" x14ac:dyDescent="0.25">
      <c r="A68" s="47">
        <v>42552</v>
      </c>
      <c r="B68" s="189">
        <f>Sheet6!C68-Sheet6!E68</f>
        <v>0.42491768674423075</v>
      </c>
      <c r="C68" s="189">
        <f>Sheet2!B67-Sheet6!$E68</f>
        <v>-5.3245056579519098E-2</v>
      </c>
      <c r="D68" s="189">
        <f>Sheet2!C67-Sheet6!$E68</f>
        <v>0.19298127442271767</v>
      </c>
      <c r="E68" s="189">
        <f>Sheet2!D67-Sheet6!$E68</f>
        <v>1.6575659284497426</v>
      </c>
      <c r="F68" s="189">
        <f>Sheet2!E67-Sheet6!$E68</f>
        <v>0.88994692441016254</v>
      </c>
      <c r="G68" s="189">
        <f>Sheet2!F67-Sheet6!$E68</f>
        <v>1.1452887537538492</v>
      </c>
      <c r="H68" s="189">
        <f>Sheet2!G67-Sheet6!$E68</f>
        <v>1.289762245503298</v>
      </c>
      <c r="I68" s="189">
        <f>Sheet2!H67-Sheet6!$E68</f>
        <v>0.97602725960317094</v>
      </c>
      <c r="J68" s="189">
        <f>Sheet2!I67-Sheet6!$E68</f>
        <v>1.5417077837324491</v>
      </c>
      <c r="K68" s="189">
        <f>Sheet2!J67-Sheet6!$E68</f>
        <v>-1.0618296315926742E-2</v>
      </c>
      <c r="L68" s="190">
        <f>Sheet2!K67-Sheet6!$E68</f>
        <v>9.8063041619305749E-2</v>
      </c>
    </row>
    <row r="69" spans="1:12" ht="19" x14ac:dyDescent="0.25">
      <c r="A69" s="47">
        <v>42583</v>
      </c>
      <c r="B69" s="187">
        <f>Sheet6!C69-Sheet6!E69</f>
        <v>-1.7830106735369798E-2</v>
      </c>
      <c r="C69" s="187">
        <f>Sheet2!B68-Sheet6!$E69</f>
        <v>0.22975899613399306</v>
      </c>
      <c r="D69" s="187">
        <f>Sheet2!C68-Sheet6!$E69</f>
        <v>-0.3794306156664472</v>
      </c>
      <c r="E69" s="187">
        <f>Sheet2!D68-Sheet6!$E69</f>
        <v>-0.45216737503741367</v>
      </c>
      <c r="F69" s="187">
        <f>Sheet2!E68-Sheet6!$E69</f>
        <v>0.12280727528431577</v>
      </c>
      <c r="G69" s="187">
        <f>Sheet2!F68-Sheet6!$E69</f>
        <v>1.3632585456939181</v>
      </c>
      <c r="H69" s="187">
        <f>Sheet2!G68-Sheet6!$E69</f>
        <v>0.16194116012351198</v>
      </c>
      <c r="I69" s="187">
        <f>Sheet2!H68-Sheet6!$E69</f>
        <v>0.19820884328631436</v>
      </c>
      <c r="J69" s="187">
        <f>Sheet2!I68-Sheet6!$E69</f>
        <v>0.14137717137218661</v>
      </c>
      <c r="K69" s="187">
        <f>Sheet2!J68-Sheet6!$E69</f>
        <v>-0.25480766596181093</v>
      </c>
      <c r="L69" s="188">
        <f>Sheet2!K68-Sheet6!$E69</f>
        <v>0.45950195611872469</v>
      </c>
    </row>
    <row r="70" spans="1:12" ht="19" x14ac:dyDescent="0.25">
      <c r="A70" s="47">
        <v>42614</v>
      </c>
      <c r="B70" s="189">
        <f>Sheet6!C70-Sheet6!E70</f>
        <v>-1.7413791197401114E-2</v>
      </c>
      <c r="C70" s="189">
        <f>Sheet2!B69-Sheet6!$E70</f>
        <v>0.74557551415919321</v>
      </c>
      <c r="D70" s="189">
        <f>Sheet2!C69-Sheet6!$E70</f>
        <v>-0.40838622842141242</v>
      </c>
      <c r="E70" s="189">
        <f>Sheet2!D69-Sheet6!$E70</f>
        <v>0.38919067164179494</v>
      </c>
      <c r="F70" s="189">
        <f>Sheet2!E69-Sheet6!$E70</f>
        <v>0.23237218227949369</v>
      </c>
      <c r="G70" s="189">
        <f>Sheet2!F69-Sheet6!$E70</f>
        <v>-0.31275916790271446</v>
      </c>
      <c r="H70" s="189">
        <f>Sheet2!G69-Sheet6!$E70</f>
        <v>0.10161085634356597</v>
      </c>
      <c r="I70" s="189">
        <f>Sheet2!H69-Sheet6!$E70</f>
        <v>0.63570959143814065</v>
      </c>
      <c r="J70" s="189">
        <f>Sheet2!I69-Sheet6!$E70</f>
        <v>-5.8993140626178171E-2</v>
      </c>
      <c r="K70" s="189">
        <f>Sheet2!J69-Sheet6!$E70</f>
        <v>0.19454937796994914</v>
      </c>
      <c r="L70" s="190">
        <f>Sheet2!K69-Sheet6!$E70</f>
        <v>-1.0414622260672817</v>
      </c>
    </row>
    <row r="71" spans="1:12" ht="19" x14ac:dyDescent="0.25">
      <c r="A71" s="47">
        <v>42644</v>
      </c>
      <c r="B71" s="187">
        <f>Sheet6!C71-Sheet6!E71</f>
        <v>-0.236057500449667</v>
      </c>
      <c r="C71" s="187">
        <f>Sheet2!B70-Sheet6!$E71</f>
        <v>-0.58541733341233226</v>
      </c>
      <c r="D71" s="187">
        <f>Sheet2!C70-Sheet6!$E71</f>
        <v>-0.24011327625246159</v>
      </c>
      <c r="E71" s="187">
        <f>Sheet2!D70-Sheet6!$E71</f>
        <v>-0.68226311891939662</v>
      </c>
      <c r="F71" s="187">
        <f>Sheet2!E70-Sheet6!$E71</f>
        <v>-0.14818957556406587</v>
      </c>
      <c r="G71" s="187">
        <f>Sheet2!F70-Sheet6!$E71</f>
        <v>0.64880858981754508</v>
      </c>
      <c r="H71" s="187">
        <f>Sheet2!G70-Sheet6!$E71</f>
        <v>0.48038237136069939</v>
      </c>
      <c r="I71" s="187">
        <f>Sheet2!H70-Sheet6!$E71</f>
        <v>0.61609287072991781</v>
      </c>
      <c r="J71" s="187">
        <f>Sheet2!I70-Sheet6!$E71</f>
        <v>7.5738835978603328E-2</v>
      </c>
      <c r="K71" s="187">
        <f>Sheet2!J70-Sheet6!$E71</f>
        <v>-0.3523679926187564</v>
      </c>
      <c r="L71" s="188">
        <f>Sheet2!K70-Sheet6!$E71</f>
        <v>-0.53407795865038632</v>
      </c>
    </row>
    <row r="72" spans="1:12" ht="19" x14ac:dyDescent="0.25">
      <c r="A72" s="47">
        <v>42675</v>
      </c>
      <c r="B72" s="189">
        <f>Sheet6!C72-Sheet6!E72</f>
        <v>0.40541336123979788</v>
      </c>
      <c r="C72" s="189">
        <f>Sheet2!B71-Sheet6!$E72</f>
        <v>0.45289241697322025</v>
      </c>
      <c r="D72" s="189">
        <f>Sheet2!C71-Sheet6!$E72</f>
        <v>1.1032918559718206</v>
      </c>
      <c r="E72" s="189">
        <f>Sheet2!D71-Sheet6!$E72</f>
        <v>-0.87030400255346274</v>
      </c>
      <c r="F72" s="189">
        <f>Sheet2!E71-Sheet6!$E72</f>
        <v>4.7630815892569803E-2</v>
      </c>
      <c r="G72" s="189">
        <f>Sheet2!F71-Sheet6!$E72</f>
        <v>3.3553183104264606</v>
      </c>
      <c r="H72" s="189">
        <f>Sheet2!G71-Sheet6!$E72</f>
        <v>6.3410401025409971E-2</v>
      </c>
      <c r="I72" s="189">
        <f>Sheet2!H71-Sheet6!$E72</f>
        <v>-0.52358687125815528</v>
      </c>
      <c r="J72" s="189">
        <f>Sheet2!I71-Sheet6!$E72</f>
        <v>1.1079762453428352</v>
      </c>
      <c r="K72" s="189">
        <f>Sheet2!J71-Sheet6!$E72</f>
        <v>6.5588283464785416E-2</v>
      </c>
      <c r="L72" s="190">
        <f>Sheet2!K71-Sheet6!$E72</f>
        <v>-3.0983789992092597E-2</v>
      </c>
    </row>
    <row r="73" spans="1:12" ht="19" x14ac:dyDescent="0.25">
      <c r="A73" s="47">
        <v>42705</v>
      </c>
      <c r="B73" s="187">
        <f>Sheet6!C73-Sheet6!E73</f>
        <v>0.21360904853079657</v>
      </c>
      <c r="C73" s="187">
        <f>Sheet2!B72-Sheet6!$E73</f>
        <v>-0.2358975052537616</v>
      </c>
      <c r="D73" s="187">
        <f>Sheet2!C72-Sheet6!$E73</f>
        <v>-0.4587217700567866</v>
      </c>
      <c r="E73" s="187">
        <f>Sheet2!D72-Sheet6!$E73</f>
        <v>-0.43410815273477932</v>
      </c>
      <c r="F73" s="187">
        <f>Sheet2!E72-Sheet6!$E73</f>
        <v>9.5286195659215173E-2</v>
      </c>
      <c r="G73" s="187">
        <f>Sheet2!F72-Sheet6!$E73</f>
        <v>0.59860744606438787</v>
      </c>
      <c r="H73" s="187">
        <f>Sheet2!G72-Sheet6!$E73</f>
        <v>0.45317385029889701</v>
      </c>
      <c r="I73" s="187">
        <f>Sheet2!H72-Sheet6!$E73</f>
        <v>0.11848872590160955</v>
      </c>
      <c r="J73" s="187">
        <f>Sheet2!I72-Sheet6!$E73</f>
        <v>0.1029347023416344</v>
      </c>
      <c r="K73" s="187">
        <f>Sheet2!J72-Sheet6!$E73</f>
        <v>-0.22800276035435915</v>
      </c>
      <c r="L73" s="188">
        <f>Sheet2!K72-Sheet6!$E73</f>
        <v>0.17734644708571815</v>
      </c>
    </row>
    <row r="74" spans="1:12" ht="19" x14ac:dyDescent="0.25">
      <c r="A74" s="47">
        <v>42736</v>
      </c>
      <c r="B74" s="189">
        <f>Sheet6!C74-Sheet6!E74</f>
        <v>0.20961209649682988</v>
      </c>
      <c r="C74" s="189">
        <f>Sheet2!B73-Sheet6!$E74</f>
        <v>-0.33898639591784241</v>
      </c>
      <c r="D74" s="189">
        <f>Sheet2!C73-Sheet6!$E74</f>
        <v>-6.9842201659711667E-2</v>
      </c>
      <c r="E74" s="189">
        <f>Sheet2!D73-Sheet6!$E74</f>
        <v>0.95397206710766713</v>
      </c>
      <c r="F74" s="189">
        <f>Sheet2!E73-Sheet6!$E74</f>
        <v>0.64912390546119514</v>
      </c>
      <c r="G74" s="189">
        <f>Sheet2!F73-Sheet6!$E74</f>
        <v>0.2882105387416577</v>
      </c>
      <c r="H74" s="189">
        <f>Sheet2!G73-Sheet6!$E74</f>
        <v>0.47971075469973534</v>
      </c>
      <c r="I74" s="189">
        <f>Sheet2!H73-Sheet6!$E74</f>
        <v>0.35296621372291248</v>
      </c>
      <c r="J74" s="189">
        <f>Sheet2!I73-Sheet6!$E74</f>
        <v>0.7414302657341113</v>
      </c>
      <c r="K74" s="189">
        <f>Sheet2!J73-Sheet6!$E74</f>
        <v>-0.33526606755261634</v>
      </c>
      <c r="L74" s="190">
        <f>Sheet2!K73-Sheet6!$E74</f>
        <v>0.52874444840242585</v>
      </c>
    </row>
    <row r="75" spans="1:12" ht="19" x14ac:dyDescent="0.25">
      <c r="A75" s="47">
        <v>42767</v>
      </c>
      <c r="B75" s="187">
        <f>Sheet6!C75-Sheet6!E75</f>
        <v>0.4411491264969048</v>
      </c>
      <c r="C75" s="187">
        <f>Sheet2!B74-Sheet6!$E75</f>
        <v>0.90422623603089314</v>
      </c>
      <c r="D75" s="187">
        <f>Sheet2!C74-Sheet6!$E75</f>
        <v>0.35333598061037114</v>
      </c>
      <c r="E75" s="187">
        <f>Sheet2!D74-Sheet6!$E75</f>
        <v>0.26830776015857177</v>
      </c>
      <c r="F75" s="187">
        <f>Sheet2!E74-Sheet6!$E75</f>
        <v>0.5197755573360735</v>
      </c>
      <c r="G75" s="187">
        <f>Sheet2!F74-Sheet6!$E75</f>
        <v>1.0760438658397415</v>
      </c>
      <c r="H75" s="187">
        <f>Sheet2!G74-Sheet6!$E75</f>
        <v>-0.12958924683980916</v>
      </c>
      <c r="I75" s="187">
        <f>Sheet2!H74-Sheet6!$E75</f>
        <v>0.48669755736057857</v>
      </c>
      <c r="J75" s="187">
        <f>Sheet2!I74-Sheet6!$E75</f>
        <v>7.015964714549934E-2</v>
      </c>
      <c r="K75" s="187">
        <f>Sheet2!J74-Sheet6!$E75</f>
        <v>0.74813819172156049</v>
      </c>
      <c r="L75" s="188">
        <f>Sheet2!K74-Sheet6!$E75</f>
        <v>0.96112228363850616</v>
      </c>
    </row>
    <row r="76" spans="1:12" ht="19" x14ac:dyDescent="0.25">
      <c r="A76" s="47">
        <v>42795</v>
      </c>
      <c r="B76" s="189">
        <f>Sheet6!C76-Sheet6!E76</f>
        <v>-1.2050762044981737E-2</v>
      </c>
      <c r="C76" s="189">
        <f>Sheet2!B75-Sheet6!$E76</f>
        <v>-0.26403249139216595</v>
      </c>
      <c r="D76" s="189">
        <f>Sheet2!C75-Sheet6!$E76</f>
        <v>0.36886882450658959</v>
      </c>
      <c r="E76" s="189">
        <f>Sheet2!D75-Sheet6!$E76</f>
        <v>1.0662638331280303</v>
      </c>
      <c r="F76" s="189">
        <f>Sheet2!E75-Sheet6!$E76</f>
        <v>0.21043121270837112</v>
      </c>
      <c r="G76" s="189">
        <f>Sheet2!F75-Sheet6!$E76</f>
        <v>-0.53736512160509886</v>
      </c>
      <c r="H76" s="189">
        <f>Sheet2!G75-Sheet6!$E76</f>
        <v>0.42011648421923503</v>
      </c>
      <c r="I76" s="189">
        <f>Sheet2!H75-Sheet6!$E76</f>
        <v>0.21097945470325324</v>
      </c>
      <c r="J76" s="189">
        <f>Sheet2!I75-Sheet6!$E76</f>
        <v>-0.48946484622488212</v>
      </c>
      <c r="K76" s="189">
        <f>Sheet2!J75-Sheet6!$E76</f>
        <v>0.18718013399884498</v>
      </c>
      <c r="L76" s="190">
        <f>Sheet2!K75-Sheet6!$E76</f>
        <v>-0.30759008050272479</v>
      </c>
    </row>
    <row r="77" spans="1:12" ht="19" x14ac:dyDescent="0.25">
      <c r="A77" s="47">
        <v>42826</v>
      </c>
      <c r="B77" s="187">
        <f>Sheet6!C77-Sheet6!E77</f>
        <v>0.10129460283063588</v>
      </c>
      <c r="C77" s="187">
        <f>Sheet2!B76-Sheet6!$E77</f>
        <v>0.13434266434893474</v>
      </c>
      <c r="D77" s="187">
        <f>Sheet2!C76-Sheet6!$E77</f>
        <v>0.33541017611233365</v>
      </c>
      <c r="E77" s="187">
        <f>Sheet2!D76-Sheet6!$E77</f>
        <v>0.27325544026089649</v>
      </c>
      <c r="F77" s="187">
        <f>Sheet2!E76-Sheet6!$E77</f>
        <v>0.34508179907998798</v>
      </c>
      <c r="G77" s="187">
        <f>Sheet2!F76-Sheet6!$E77</f>
        <v>-9.8782644887810606E-2</v>
      </c>
      <c r="H77" s="187">
        <f>Sheet2!G76-Sheet6!$E77</f>
        <v>0.46593160181150545</v>
      </c>
      <c r="I77" s="187">
        <f>Sheet2!H76-Sheet6!$E77</f>
        <v>0.40297511337836461</v>
      </c>
      <c r="J77" s="187">
        <f>Sheet2!I76-Sheet6!$E77</f>
        <v>-0.13186580204106366</v>
      </c>
      <c r="K77" s="187">
        <f>Sheet2!J76-Sheet6!$E77</f>
        <v>0.60032443938947511</v>
      </c>
      <c r="L77" s="188">
        <f>Sheet2!K76-Sheet6!$E77</f>
        <v>-3.9528672015673533E-2</v>
      </c>
    </row>
    <row r="78" spans="1:12" ht="19" x14ac:dyDescent="0.25">
      <c r="A78" s="47">
        <v>42856</v>
      </c>
      <c r="B78" s="189">
        <f>Sheet6!C78-Sheet6!E78</f>
        <v>0.12941452059391262</v>
      </c>
      <c r="C78" s="189">
        <f>Sheet2!B77-Sheet6!$E78</f>
        <v>0.43185184006074545</v>
      </c>
      <c r="D78" s="189">
        <f>Sheet2!C77-Sheet6!$E78</f>
        <v>0.69979001176453182</v>
      </c>
      <c r="E78" s="189">
        <f>Sheet2!D77-Sheet6!$E78</f>
        <v>0.72051123986094823</v>
      </c>
      <c r="F78" s="189">
        <f>Sheet2!E77-Sheet6!$E78</f>
        <v>0.45818311938923723</v>
      </c>
      <c r="G78" s="189">
        <f>Sheet2!F77-Sheet6!$E78</f>
        <v>-0.48764834714191391</v>
      </c>
      <c r="H78" s="189">
        <f>Sheet2!G77-Sheet6!$E78</f>
        <v>0.23239103590409377</v>
      </c>
      <c r="I78" s="189">
        <f>Sheet2!H77-Sheet6!$E78</f>
        <v>0.69218409187200713</v>
      </c>
      <c r="J78" s="189">
        <f>Sheet2!I77-Sheet6!$E78</f>
        <v>-0.25545622095388459</v>
      </c>
      <c r="K78" s="189">
        <f>Sheet2!J77-Sheet6!$E78</f>
        <v>0.53639122939407902</v>
      </c>
      <c r="L78" s="190">
        <f>Sheet2!K77-Sheet6!$E78</f>
        <v>-0.53359401711544308</v>
      </c>
    </row>
    <row r="79" spans="1:12" ht="19" x14ac:dyDescent="0.25">
      <c r="A79" s="47">
        <v>42887</v>
      </c>
      <c r="B79" s="187">
        <f>Sheet6!C79-Sheet6!E79</f>
        <v>4.7835983912429596E-2</v>
      </c>
      <c r="C79" s="187">
        <f>Sheet2!B78-Sheet6!$E79</f>
        <v>-8.6094694771047253E-2</v>
      </c>
      <c r="D79" s="187">
        <f>Sheet2!C78-Sheet6!$E79</f>
        <v>-0.96445942709609267</v>
      </c>
      <c r="E79" s="187">
        <f>Sheet2!D78-Sheet6!$E79</f>
        <v>0.50454297964153461</v>
      </c>
      <c r="F79" s="187">
        <f>Sheet2!E78-Sheet6!$E79</f>
        <v>-0.31993247019112814</v>
      </c>
      <c r="G79" s="187">
        <f>Sheet2!F78-Sheet6!$E79</f>
        <v>1.0233654726765786</v>
      </c>
      <c r="H79" s="187">
        <f>Sheet2!G78-Sheet6!$E79</f>
        <v>-9.8399270900997537E-2</v>
      </c>
      <c r="I79" s="187">
        <f>Sheet2!H78-Sheet6!$E79</f>
        <v>-0.14957873582373327</v>
      </c>
      <c r="J79" s="187">
        <f>Sheet2!I78-Sheet6!$E79</f>
        <v>0.34373631932402549</v>
      </c>
      <c r="K79" s="187">
        <f>Sheet2!J78-Sheet6!$E79</f>
        <v>-0.37841096359303594</v>
      </c>
      <c r="L79" s="188">
        <f>Sheet2!K78-Sheet6!$E79</f>
        <v>1.3510825021909232</v>
      </c>
    </row>
    <row r="80" spans="1:12" ht="19" x14ac:dyDescent="0.25">
      <c r="A80" s="47">
        <v>42917</v>
      </c>
      <c r="B80" s="189">
        <f>Sheet6!C80-Sheet6!E80</f>
        <v>0.22165522660218531</v>
      </c>
      <c r="C80" s="189">
        <f>Sheet2!B79-Sheet6!$E80</f>
        <v>0.48817815276226834</v>
      </c>
      <c r="D80" s="189">
        <f>Sheet2!C79-Sheet6!$E80</f>
        <v>-0.90162847088334785</v>
      </c>
      <c r="E80" s="189">
        <f>Sheet2!D79-Sheet6!$E80</f>
        <v>0.89441927742731686</v>
      </c>
      <c r="F80" s="189">
        <f>Sheet2!E79-Sheet6!$E80</f>
        <v>0.51084774881583528</v>
      </c>
      <c r="G80" s="189">
        <f>Sheet2!F79-Sheet6!$E80</f>
        <v>-7.9777584531664683E-2</v>
      </c>
      <c r="H80" s="189">
        <f>Sheet2!G79-Sheet6!$E80</f>
        <v>0.6457890597673287</v>
      </c>
      <c r="I80" s="189">
        <f>Sheet2!H79-Sheet6!$E80</f>
        <v>0.61688762384566964</v>
      </c>
      <c r="J80" s="189">
        <f>Sheet2!I79-Sheet6!$E80</f>
        <v>0.48813927712785538</v>
      </c>
      <c r="K80" s="189">
        <f>Sheet2!J79-Sheet6!$E80</f>
        <v>0.67287307350892001</v>
      </c>
      <c r="L80" s="190">
        <f>Sheet2!K79-Sheet6!$E80</f>
        <v>4.0574658393659188E-2</v>
      </c>
    </row>
    <row r="81" spans="1:12" ht="19" x14ac:dyDescent="0.25">
      <c r="A81" s="47">
        <v>42948</v>
      </c>
      <c r="B81" s="187">
        <f>Sheet6!C81-Sheet6!E81</f>
        <v>-3.222092053596682E-3</v>
      </c>
      <c r="C81" s="187">
        <f>Sheet2!B80-Sheet6!$E81</f>
        <v>0.17093473881162791</v>
      </c>
      <c r="D81" s="187">
        <f>Sheet2!C80-Sheet6!$E81</f>
        <v>0.18584685786125743</v>
      </c>
      <c r="E81" s="187">
        <f>Sheet2!D80-Sheet6!$E81</f>
        <v>-0.43052477720964244</v>
      </c>
      <c r="F81" s="187">
        <f>Sheet2!E80-Sheet6!$E81</f>
        <v>0.23905104776029262</v>
      </c>
      <c r="G81" s="187">
        <f>Sheet2!F80-Sheet6!$E81</f>
        <v>-0.12421051156457695</v>
      </c>
      <c r="H81" s="187">
        <f>Sheet2!G80-Sheet6!$E81</f>
        <v>0.33189846643028631</v>
      </c>
      <c r="I81" s="187">
        <f>Sheet2!H80-Sheet6!$E81</f>
        <v>0.52949404744682671</v>
      </c>
      <c r="J81" s="187">
        <f>Sheet2!I80-Sheet6!$E81</f>
        <v>0.17698966549632378</v>
      </c>
      <c r="K81" s="187">
        <f>Sheet2!J80-Sheet6!$E81</f>
        <v>-0.29781523389341913</v>
      </c>
      <c r="L81" s="188">
        <f>Sheet2!K80-Sheet6!$E81</f>
        <v>-1.2778579479402878</v>
      </c>
    </row>
    <row r="82" spans="1:12" ht="19" x14ac:dyDescent="0.25">
      <c r="A82" s="47">
        <v>42979</v>
      </c>
      <c r="B82" s="189">
        <f>Sheet6!C82-Sheet6!E82</f>
        <v>0.22135473792810584</v>
      </c>
      <c r="C82" s="189">
        <f>Sheet2!B81-Sheet6!$E82</f>
        <v>0.38525641937877247</v>
      </c>
      <c r="D82" s="189">
        <f>Sheet2!C81-Sheet6!$E82</f>
        <v>-0.20879545629403146</v>
      </c>
      <c r="E82" s="189">
        <f>Sheet2!D81-Sheet6!$E82</f>
        <v>-0.70369436554594034</v>
      </c>
      <c r="F82" s="189">
        <f>Sheet2!E81-Sheet6!$E82</f>
        <v>-7.18424655470115E-2</v>
      </c>
      <c r="G82" s="189">
        <f>Sheet2!F81-Sheet6!$E82</f>
        <v>0.78316514936475545</v>
      </c>
      <c r="H82" s="189">
        <f>Sheet2!G81-Sheet6!$E82</f>
        <v>8.4785130555767411E-3</v>
      </c>
      <c r="I82" s="189">
        <f>Sheet2!H81-Sheet6!$E82</f>
        <v>0.70089643641983723</v>
      </c>
      <c r="J82" s="189">
        <f>Sheet2!I81-Sheet6!$E82</f>
        <v>1.2508030322786696</v>
      </c>
      <c r="K82" s="189">
        <f>Sheet2!J81-Sheet6!$E82</f>
        <v>7.6027846595699014E-2</v>
      </c>
      <c r="L82" s="190">
        <f>Sheet2!K81-Sheet6!$E82</f>
        <v>-0.1879332962726929</v>
      </c>
    </row>
    <row r="83" spans="1:12" ht="19" x14ac:dyDescent="0.25">
      <c r="A83" s="47">
        <v>43009</v>
      </c>
      <c r="B83" s="187">
        <f>Sheet6!C83-Sheet6!E83</f>
        <v>0.2550280972945525</v>
      </c>
      <c r="C83" s="187">
        <f>Sheet2!B82-Sheet6!$E83</f>
        <v>0.63643418148890818</v>
      </c>
      <c r="D83" s="187">
        <f>Sheet2!C82-Sheet6!$E83</f>
        <v>0.2412376161778956</v>
      </c>
      <c r="E83" s="187">
        <f>Sheet2!D82-Sheet6!$E83</f>
        <v>1.9394930851633625</v>
      </c>
      <c r="F83" s="187">
        <f>Sheet2!E82-Sheet6!$E83</f>
        <v>0.56901513473919019</v>
      </c>
      <c r="G83" s="187">
        <f>Sheet2!F82-Sheet6!$E83</f>
        <v>0.95956721310599613</v>
      </c>
      <c r="H83" s="187">
        <f>Sheet2!G82-Sheet6!$E83</f>
        <v>1.3886876485435382</v>
      </c>
      <c r="I83" s="187">
        <f>Sheet2!H82-Sheet6!$E83</f>
        <v>0.63211213057754045</v>
      </c>
      <c r="J83" s="187">
        <f>Sheet2!I82-Sheet6!$E83</f>
        <v>0.89158940756495697</v>
      </c>
      <c r="K83" s="187">
        <f>Sheet2!J82-Sheet6!$E83</f>
        <v>1.3970104591523251</v>
      </c>
      <c r="L83" s="188">
        <f>Sheet2!K82-Sheet6!$E83</f>
        <v>0.71548047480461763</v>
      </c>
    </row>
    <row r="84" spans="1:12" ht="19" x14ac:dyDescent="0.25">
      <c r="A84" s="47">
        <v>43040</v>
      </c>
      <c r="B84" s="189">
        <f>Sheet6!C84-Sheet6!E84</f>
        <v>0.32461121642086549</v>
      </c>
      <c r="C84" s="189">
        <f>Sheet2!B83-Sheet6!$E84</f>
        <v>0.58471295482355001</v>
      </c>
      <c r="D84" s="189">
        <f>Sheet2!C83-Sheet6!$E84</f>
        <v>0.63969880290284331</v>
      </c>
      <c r="E84" s="189">
        <f>Sheet2!D83-Sheet6!$E84</f>
        <v>0.92473098825155675</v>
      </c>
      <c r="F84" s="189">
        <f>Sheet2!E83-Sheet6!$E84</f>
        <v>0.22422830512986042</v>
      </c>
      <c r="G84" s="189">
        <f>Sheet2!F83-Sheet6!$E84</f>
        <v>0.32935121070403756</v>
      </c>
      <c r="H84" s="189">
        <f>Sheet2!G83-Sheet6!$E84</f>
        <v>0.13044262338773144</v>
      </c>
      <c r="I84" s="189">
        <f>Sheet2!H83-Sheet6!$E84</f>
        <v>0.14356698926017969</v>
      </c>
      <c r="J84" s="189">
        <f>Sheet2!I83-Sheet6!$E84</f>
        <v>1.8331412224886379E-2</v>
      </c>
      <c r="K84" s="189">
        <f>Sheet2!J83-Sheet6!$E84</f>
        <v>1.3510399474145285</v>
      </c>
      <c r="L84" s="190">
        <f>Sheet2!K83-Sheet6!$E84</f>
        <v>1.1725636350024813</v>
      </c>
    </row>
    <row r="85" spans="1:12" ht="19" x14ac:dyDescent="0.25">
      <c r="A85" s="47">
        <v>43070</v>
      </c>
      <c r="B85" s="187">
        <f>Sheet6!C85-Sheet6!E85</f>
        <v>0.10442943782624198</v>
      </c>
      <c r="C85" s="187">
        <f>Sheet2!B84-Sheet6!$E85</f>
        <v>0.39831663080578344</v>
      </c>
      <c r="D85" s="187">
        <f>Sheet2!C84-Sheet6!$E85</f>
        <v>-3.1348717007754927E-2</v>
      </c>
      <c r="E85" s="187">
        <f>Sheet2!D84-Sheet6!$E85</f>
        <v>-0.48790847167432677</v>
      </c>
      <c r="F85" s="187">
        <f>Sheet2!E84-Sheet6!$E85</f>
        <v>3.3631838133943721E-2</v>
      </c>
      <c r="G85" s="187">
        <f>Sheet2!F84-Sheet6!$E85</f>
        <v>0.61511534369603682</v>
      </c>
      <c r="H85" s="187">
        <f>Sheet2!G84-Sheet6!$E85</f>
        <v>0.24301736449506922</v>
      </c>
      <c r="I85" s="187">
        <f>Sheet2!H84-Sheet6!$E85</f>
        <v>5.7426025896192674E-2</v>
      </c>
      <c r="J85" s="187">
        <f>Sheet2!I84-Sheet6!$E85</f>
        <v>-0.59837197964365663</v>
      </c>
      <c r="K85" s="187">
        <f>Sheet2!J84-Sheet6!$E85</f>
        <v>0.17404474304904344</v>
      </c>
      <c r="L85" s="188">
        <f>Sheet2!K84-Sheet6!$E85</f>
        <v>0.40948964982100783</v>
      </c>
    </row>
    <row r="86" spans="1:12" ht="19" x14ac:dyDescent="0.25">
      <c r="A86" s="47">
        <v>43101</v>
      </c>
      <c r="B86" s="189">
        <f>Sheet6!C86-Sheet6!E86</f>
        <v>0.65984469574844473</v>
      </c>
      <c r="C86" s="189">
        <f>Sheet2!B85-Sheet6!$E86</f>
        <v>0.58221048042067958</v>
      </c>
      <c r="D86" s="189">
        <f>Sheet2!C85-Sheet6!$E86</f>
        <v>-0.14384665513223863</v>
      </c>
      <c r="E86" s="189">
        <f>Sheet2!D85-Sheet6!$E86</f>
        <v>0.78391969303181996</v>
      </c>
      <c r="F86" s="189">
        <f>Sheet2!E85-Sheet6!$E86</f>
        <v>1.063840122885757</v>
      </c>
      <c r="G86" s="189">
        <f>Sheet2!F85-Sheet6!$E86</f>
        <v>0.99383144531320555</v>
      </c>
      <c r="H86" s="189">
        <f>Sheet2!G85-Sheet6!$E86</f>
        <v>1.314198682939828</v>
      </c>
      <c r="I86" s="189">
        <f>Sheet2!H85-Sheet6!$E86</f>
        <v>1.3842205325990009</v>
      </c>
      <c r="J86" s="189">
        <f>Sheet2!I85-Sheet6!$E86</f>
        <v>0.51436236047166028</v>
      </c>
      <c r="K86" s="189">
        <f>Sheet2!J85-Sheet6!$E86</f>
        <v>1.0078921825619731</v>
      </c>
      <c r="L86" s="190">
        <f>Sheet2!K85-Sheet6!$E86</f>
        <v>1.1169364466710578</v>
      </c>
    </row>
    <row r="87" spans="1:12" ht="19" x14ac:dyDescent="0.25">
      <c r="A87" s="47">
        <v>43132</v>
      </c>
      <c r="B87" s="187">
        <f>Sheet6!C87-Sheet6!E87</f>
        <v>-0.4835485552498221</v>
      </c>
      <c r="C87" s="187">
        <f>Sheet2!B86-Sheet6!$E87</f>
        <v>6.9675615255147816E-3</v>
      </c>
      <c r="D87" s="187">
        <f>Sheet2!C86-Sheet6!$E87</f>
        <v>4.507565597775573E-2</v>
      </c>
      <c r="E87" s="187">
        <f>Sheet2!D86-Sheet6!$E87</f>
        <v>0.61460849876488355</v>
      </c>
      <c r="F87" s="187">
        <f>Sheet2!E86-Sheet6!$E87</f>
        <v>-0.17131484134506461</v>
      </c>
      <c r="G87" s="187">
        <f>Sheet2!F86-Sheet6!$E87</f>
        <v>2.1318528868831649E-2</v>
      </c>
      <c r="H87" s="187">
        <f>Sheet2!G86-Sheet6!$E87</f>
        <v>-0.17279258737823047</v>
      </c>
      <c r="I87" s="187">
        <f>Sheet2!H86-Sheet6!$E87</f>
        <v>0.48346999337610119</v>
      </c>
      <c r="J87" s="187">
        <f>Sheet2!I86-Sheet6!$E87</f>
        <v>-0.882014064412871</v>
      </c>
      <c r="K87" s="187">
        <f>Sheet2!J86-Sheet6!$E87</f>
        <v>-1.8837215599465937</v>
      </c>
      <c r="L87" s="188">
        <f>Sheet2!K86-Sheet6!$E87</f>
        <v>-0.22550337526980005</v>
      </c>
    </row>
    <row r="88" spans="1:12" ht="19" x14ac:dyDescent="0.25">
      <c r="A88" s="47">
        <v>43160</v>
      </c>
      <c r="B88" s="189">
        <f>Sheet6!C88-Sheet6!E88</f>
        <v>-0.33931416522037178</v>
      </c>
      <c r="C88" s="189">
        <f>Sheet2!B87-Sheet6!$E88</f>
        <v>-0.57641622825107264</v>
      </c>
      <c r="D88" s="189">
        <f>Sheet2!C87-Sheet6!$E88</f>
        <v>0.21531045505005081</v>
      </c>
      <c r="E88" s="189">
        <f>Sheet2!D87-Sheet6!$E88</f>
        <v>-0.52086148442650593</v>
      </c>
      <c r="F88" s="189">
        <f>Sheet2!E87-Sheet6!$E88</f>
        <v>-0.52480492370986587</v>
      </c>
      <c r="G88" s="189">
        <f>Sheet2!F87-Sheet6!$E88</f>
        <v>-0.80548445405141533</v>
      </c>
      <c r="H88" s="189">
        <f>Sheet2!G87-Sheet6!$E88</f>
        <v>-0.28176638378887536</v>
      </c>
      <c r="I88" s="189">
        <f>Sheet2!H87-Sheet6!$E88</f>
        <v>-5.7663499889296262E-2</v>
      </c>
      <c r="J88" s="189">
        <f>Sheet2!I87-Sheet6!$E88</f>
        <v>-0.93461572609264232</v>
      </c>
      <c r="K88" s="189">
        <f>Sheet2!J87-Sheet6!$E88</f>
        <v>-0.15535060431598763</v>
      </c>
      <c r="L88" s="190">
        <f>Sheet2!K87-Sheet6!$E88</f>
        <v>-0.12232314162890284</v>
      </c>
    </row>
    <row r="89" spans="1:12" ht="19" x14ac:dyDescent="0.25">
      <c r="A89" s="47">
        <v>43191</v>
      </c>
      <c r="B89" s="187">
        <f>Sheet6!C89-Sheet6!E89</f>
        <v>1.4995612014224537E-2</v>
      </c>
      <c r="C89" s="187">
        <f>Sheet2!B88-Sheet6!$E89</f>
        <v>-0.19743419065601306</v>
      </c>
      <c r="D89" s="187">
        <f>Sheet2!C88-Sheet6!$E89</f>
        <v>-8.3960415545610151E-2</v>
      </c>
      <c r="E89" s="187">
        <f>Sheet2!D88-Sheet6!$E89</f>
        <v>-0.64071597434836658</v>
      </c>
      <c r="F89" s="187">
        <f>Sheet2!E88-Sheet6!$E89</f>
        <v>6.263717566989116E-2</v>
      </c>
      <c r="G89" s="187">
        <f>Sheet2!F88-Sheet6!$E89</f>
        <v>-7.1562242425789874E-4</v>
      </c>
      <c r="H89" s="187">
        <f>Sheet2!G88-Sheet6!$E89</f>
        <v>0.27819315142317663</v>
      </c>
      <c r="I89" s="187">
        <f>Sheet2!H88-Sheet6!$E89</f>
        <v>0.19543365354110656</v>
      </c>
      <c r="J89" s="187">
        <f>Sheet2!I88-Sheet6!$E89</f>
        <v>0.23785591292704436</v>
      </c>
      <c r="K89" s="187">
        <f>Sheet2!J88-Sheet6!$E89</f>
        <v>-1.5284080752132799E-2</v>
      </c>
      <c r="L89" s="188">
        <f>Sheet2!K88-Sheet6!$E89</f>
        <v>0.37193035773065258</v>
      </c>
    </row>
    <row r="90" spans="1:12" ht="19" x14ac:dyDescent="0.25">
      <c r="A90" s="47">
        <v>43221</v>
      </c>
      <c r="B90" s="189">
        <f>Sheet6!C90-Sheet6!E90</f>
        <v>0.24060023979909667</v>
      </c>
      <c r="C90" s="189">
        <f>Sheet2!B89-Sheet6!$E90</f>
        <v>0.45068923030869085</v>
      </c>
      <c r="D90" s="189">
        <f>Sheet2!C89-Sheet6!$E90</f>
        <v>-0.20629922626173652</v>
      </c>
      <c r="E90" s="189">
        <f>Sheet2!D89-Sheet6!$E90</f>
        <v>0.3112143648302696</v>
      </c>
      <c r="F90" s="189">
        <f>Sheet2!E89-Sheet6!$E90</f>
        <v>0.66204901780767844</v>
      </c>
      <c r="G90" s="189">
        <f>Sheet2!F89-Sheet6!$E90</f>
        <v>-0.37164075964403637</v>
      </c>
      <c r="H90" s="189">
        <f>Sheet2!G89-Sheet6!$E90</f>
        <v>0.66393668701371567</v>
      </c>
      <c r="I90" s="189">
        <f>Sheet2!H89-Sheet6!$E90</f>
        <v>0.79718842866540018</v>
      </c>
      <c r="J90" s="189">
        <f>Sheet2!I89-Sheet6!$E90</f>
        <v>1.9279490741864587</v>
      </c>
      <c r="K90" s="189">
        <f>Sheet2!J89-Sheet6!$E90</f>
        <v>-0.82177562935307302</v>
      </c>
      <c r="L90" s="190">
        <f>Sheet2!K89-Sheet6!$E90</f>
        <v>0.57962964430500274</v>
      </c>
    </row>
    <row r="91" spans="1:12" ht="19" x14ac:dyDescent="0.25">
      <c r="A91" s="47">
        <v>43252</v>
      </c>
      <c r="B91" s="187">
        <f>Sheet6!C91-Sheet6!E91</f>
        <v>3.9308802448553656E-2</v>
      </c>
      <c r="C91" s="187">
        <f>Sheet2!B90-Sheet6!$E91</f>
        <v>0.58605600046125483</v>
      </c>
      <c r="D91" s="187">
        <f>Sheet2!C90-Sheet6!$E91</f>
        <v>-1.6206121046636854</v>
      </c>
      <c r="E91" s="187">
        <f>Sheet2!D90-Sheet6!$E91</f>
        <v>1.0438454873646206</v>
      </c>
      <c r="F91" s="187">
        <f>Sheet2!E90-Sheet6!$E91</f>
        <v>9.2683719385682359E-2</v>
      </c>
      <c r="G91" s="187">
        <f>Sheet2!F90-Sheet6!$E91</f>
        <v>-0.32244563341456428</v>
      </c>
      <c r="H91" s="187">
        <f>Sheet2!G90-Sheet6!$E91</f>
        <v>5.1677516066070267E-3</v>
      </c>
      <c r="I91" s="187">
        <f>Sheet2!H90-Sheet6!$E91</f>
        <v>0.38515657926918462</v>
      </c>
      <c r="J91" s="187">
        <f>Sheet2!I90-Sheet6!$E91</f>
        <v>-0.94619860069053352</v>
      </c>
      <c r="K91" s="187">
        <f>Sheet2!J90-Sheet6!$E91</f>
        <v>0.51179412180258466</v>
      </c>
      <c r="L91" s="188">
        <f>Sheet2!K90-Sheet6!$E91</f>
        <v>1.2981925332887456</v>
      </c>
    </row>
    <row r="92" spans="1:12" ht="19" x14ac:dyDescent="0.25">
      <c r="A92" s="47">
        <v>43282</v>
      </c>
      <c r="B92" s="189">
        <f>Sheet6!C92-Sheet6!E92</f>
        <v>0.41240903758502506</v>
      </c>
      <c r="C92" s="189">
        <f>Sheet2!B91-Sheet6!$E92</f>
        <v>-0.33234082140715776</v>
      </c>
      <c r="D92" s="189">
        <f>Sheet2!C91-Sheet6!$E92</f>
        <v>0.84975378614406771</v>
      </c>
      <c r="E92" s="189">
        <f>Sheet2!D91-Sheet6!$E92</f>
        <v>0.6262683240779684</v>
      </c>
      <c r="F92" s="189">
        <f>Sheet2!E91-Sheet6!$E92</f>
        <v>0.34211903148990247</v>
      </c>
      <c r="G92" s="189">
        <f>Sheet2!F91-Sheet6!$E92</f>
        <v>1.125237332325268</v>
      </c>
      <c r="H92" s="189">
        <f>Sheet2!G91-Sheet6!$E92</f>
        <v>0.88918588677386434</v>
      </c>
      <c r="I92" s="189">
        <f>Sheet2!H91-Sheet6!$E92</f>
        <v>7.0522172628297769E-2</v>
      </c>
      <c r="J92" s="189">
        <f>Sheet2!I91-Sheet6!$E92</f>
        <v>-0.37290922512199837</v>
      </c>
      <c r="K92" s="189">
        <f>Sheet2!J91-Sheet6!$E92</f>
        <v>0.48172573731647977</v>
      </c>
      <c r="L92" s="190">
        <f>Sheet2!K91-Sheet6!$E92</f>
        <v>-0.40466204501460995</v>
      </c>
    </row>
    <row r="93" spans="1:12" ht="19" x14ac:dyDescent="0.25">
      <c r="A93" s="47">
        <v>43313</v>
      </c>
      <c r="B93" s="187">
        <f>Sheet6!C93-Sheet6!E93</f>
        <v>0.34260862357924898</v>
      </c>
      <c r="C93" s="187">
        <f>Sheet2!B92-Sheet6!$E93</f>
        <v>0.71302263488109496</v>
      </c>
      <c r="D93" s="187">
        <f>Sheet2!C92-Sheet6!$E93</f>
        <v>0.22224321804182351</v>
      </c>
      <c r="E93" s="187">
        <f>Sheet2!D92-Sheet6!$E93</f>
        <v>0.60366369863013614</v>
      </c>
      <c r="F93" s="187">
        <f>Sheet2!E92-Sheet6!$E93</f>
        <v>0.67313225411719835</v>
      </c>
      <c r="G93" s="187">
        <f>Sheet2!F92-Sheet6!$E93</f>
        <v>-1.1198122406738571E-3</v>
      </c>
      <c r="H93" s="187">
        <f>Sheet2!G92-Sheet6!$E93</f>
        <v>0.68646196565709527</v>
      </c>
      <c r="I93" s="187">
        <f>Sheet2!H92-Sheet6!$E93</f>
        <v>1.0601358985480553</v>
      </c>
      <c r="J93" s="187">
        <f>Sheet2!I92-Sheet6!$E93</f>
        <v>-0.60931479923012011</v>
      </c>
      <c r="K93" s="187">
        <f>Sheet2!J92-Sheet6!$E93</f>
        <v>0.87107832422342579</v>
      </c>
      <c r="L93" s="188">
        <f>Sheet2!K92-Sheet6!$E93</f>
        <v>0.8048288314092461</v>
      </c>
    </row>
    <row r="94" spans="1:12" ht="19" x14ac:dyDescent="0.25">
      <c r="A94" s="47">
        <v>43344</v>
      </c>
      <c r="B94" s="189">
        <f>Sheet6!C94-Sheet6!E94</f>
        <v>3.0031611017674452E-2</v>
      </c>
      <c r="C94" s="189">
        <f>Sheet2!B93-Sheet6!$E94</f>
        <v>5.8702498630572274E-2</v>
      </c>
      <c r="D94" s="189">
        <f>Sheet2!C93-Sheet6!$E94</f>
        <v>0.82842601565918594</v>
      </c>
      <c r="E94" s="189">
        <f>Sheet2!D93-Sheet6!$E94</f>
        <v>0.78511619543846012</v>
      </c>
      <c r="F94" s="189">
        <f>Sheet2!E93-Sheet6!$E94</f>
        <v>-7.679174303882777E-2</v>
      </c>
      <c r="G94" s="189">
        <f>Sheet2!F93-Sheet6!$E94</f>
        <v>-0.59182099978909342</v>
      </c>
      <c r="H94" s="189">
        <f>Sheet2!G93-Sheet6!$E94</f>
        <v>0.24344824973198662</v>
      </c>
      <c r="I94" s="189">
        <f>Sheet2!H93-Sheet6!$E94</f>
        <v>0.3709643378112833</v>
      </c>
      <c r="J94" s="189">
        <f>Sheet2!I93-Sheet6!$E94</f>
        <v>-0.81373314759916882</v>
      </c>
      <c r="K94" s="189">
        <f>Sheet2!J93-Sheet6!$E94</f>
        <v>-0.19732645085812442</v>
      </c>
      <c r="L94" s="190">
        <f>Sheet2!K93-Sheet6!$E94</f>
        <v>0.37684533765229183</v>
      </c>
    </row>
    <row r="95" spans="1:12" ht="19" x14ac:dyDescent="0.25">
      <c r="A95" s="47">
        <v>43374</v>
      </c>
      <c r="B95" s="187">
        <f>Sheet6!C95-Sheet6!E95</f>
        <v>-0.85562030775777576</v>
      </c>
      <c r="C95" s="187">
        <f>Sheet2!B94-Sheet6!$E95</f>
        <v>-0.9097364888445223</v>
      </c>
      <c r="D95" s="187">
        <f>Sheet2!C94-Sheet6!$E95</f>
        <v>0.27912046287856818</v>
      </c>
      <c r="E95" s="187">
        <f>Sheet2!D94-Sheet6!$E95</f>
        <v>-1.3128048873858247</v>
      </c>
      <c r="F95" s="187">
        <f>Sheet2!E94-Sheet6!$E95</f>
        <v>-1.0345274717354824</v>
      </c>
      <c r="G95" s="187">
        <f>Sheet2!F94-Sheet6!$E95</f>
        <v>-0.76700056861754051</v>
      </c>
      <c r="H95" s="187">
        <f>Sheet2!G94-Sheet6!$E95</f>
        <v>-0.81599548717396786</v>
      </c>
      <c r="I95" s="187">
        <f>Sheet2!H94-Sheet6!$E95</f>
        <v>-1.3671931790075904</v>
      </c>
      <c r="J95" s="187">
        <f>Sheet2!I94-Sheet6!$E95</f>
        <v>1.159858730508522</v>
      </c>
      <c r="K95" s="187">
        <f>Sheet2!J94-Sheet6!$E95</f>
        <v>0.79118988619069075</v>
      </c>
      <c r="L95" s="188">
        <f>Sheet2!K94-Sheet6!$E95</f>
        <v>-1.3938831297319179</v>
      </c>
    </row>
    <row r="96" spans="1:12" ht="19" x14ac:dyDescent="0.25">
      <c r="A96" s="47">
        <v>43405</v>
      </c>
      <c r="B96" s="189">
        <f>Sheet6!C96-Sheet6!E96</f>
        <v>0.19123258158968182</v>
      </c>
      <c r="C96" s="189">
        <f>Sheet2!B95-Sheet6!$E96</f>
        <v>0.61671426674283514</v>
      </c>
      <c r="D96" s="189">
        <f>Sheet2!C95-Sheet6!$E96</f>
        <v>1.7170965268919629</v>
      </c>
      <c r="E96" s="189">
        <f>Sheet2!D95-Sheet6!$E96</f>
        <v>-0.31349218750393137</v>
      </c>
      <c r="F96" s="189">
        <f>Sheet2!E95-Sheet6!$E96</f>
        <v>-5.4878376622333538E-2</v>
      </c>
      <c r="G96" s="189">
        <f>Sheet2!F95-Sheet6!$E96</f>
        <v>0.36964645765384785</v>
      </c>
      <c r="H96" s="189">
        <f>Sheet2!G95-Sheet6!$E96</f>
        <v>0.43530621037962125</v>
      </c>
      <c r="I96" s="189">
        <f>Sheet2!H95-Sheet6!$E96</f>
        <v>0.19745975617169909</v>
      </c>
      <c r="J96" s="189">
        <f>Sheet2!I95-Sheet6!$E96</f>
        <v>0.42294519013900023</v>
      </c>
      <c r="K96" s="189">
        <f>Sheet2!J95-Sheet6!$E96</f>
        <v>-0.33779694916238356</v>
      </c>
      <c r="L96" s="190">
        <f>Sheet2!K95-Sheet6!$E96</f>
        <v>-1.0285127961632733E-2</v>
      </c>
    </row>
    <row r="97" spans="1:12" ht="19" x14ac:dyDescent="0.25">
      <c r="A97" s="47">
        <v>43435</v>
      </c>
      <c r="B97" s="187">
        <f>Sheet6!C97-Sheet6!E97</f>
        <v>-1.124323469206608</v>
      </c>
      <c r="C97" s="187">
        <f>Sheet2!B96-Sheet6!$E97</f>
        <v>-1.7378074044765908</v>
      </c>
      <c r="D97" s="187">
        <f>Sheet2!C96-Sheet6!$E97</f>
        <v>-0.37807762351031504</v>
      </c>
      <c r="E97" s="187">
        <f>Sheet2!D96-Sheet6!$E97</f>
        <v>-1.0544277167739502</v>
      </c>
      <c r="F97" s="187">
        <f>Sheet2!E96-Sheet6!$E97</f>
        <v>-1.0935559385176565</v>
      </c>
      <c r="G97" s="187">
        <f>Sheet2!F96-Sheet6!$E97</f>
        <v>-1.6117327392181926</v>
      </c>
      <c r="H97" s="187">
        <f>Sheet2!G96-Sheet6!$E97</f>
        <v>-0.98408461761246968</v>
      </c>
      <c r="I97" s="187">
        <f>Sheet2!H96-Sheet6!$E97</f>
        <v>-0.76423576128642778</v>
      </c>
      <c r="J97" s="187">
        <f>Sheet2!I96-Sheet6!$E97</f>
        <v>-1.4459239873431968</v>
      </c>
      <c r="K97" s="187">
        <f>Sheet2!J96-Sheet6!$E97</f>
        <v>-0.57599644858973054</v>
      </c>
      <c r="L97" s="188">
        <f>Sheet2!K96-Sheet6!$E97</f>
        <v>-0.14439856136341808</v>
      </c>
    </row>
    <row r="98" spans="1:12" ht="19" x14ac:dyDescent="0.25">
      <c r="A98" s="47">
        <v>43466</v>
      </c>
      <c r="B98" s="189">
        <f>Sheet6!C98-Sheet6!E98</f>
        <v>0.92081285677244262</v>
      </c>
      <c r="C98" s="189">
        <f>Sheet2!B97-Sheet6!$E98</f>
        <v>1.0437576689858603</v>
      </c>
      <c r="D98" s="189">
        <f>Sheet2!C97-Sheet6!$E98</f>
        <v>0.67349433380009727</v>
      </c>
      <c r="E98" s="189">
        <f>Sheet2!D97-Sheet6!$E98</f>
        <v>0.43393223813861292</v>
      </c>
      <c r="F98" s="189">
        <f>Sheet2!E97-Sheet6!$E98</f>
        <v>1.0953179630440428</v>
      </c>
      <c r="G98" s="189">
        <f>Sheet2!F97-Sheet6!$E98</f>
        <v>1.9193477744814786</v>
      </c>
      <c r="H98" s="189">
        <f>Sheet2!G97-Sheet6!$E98</f>
        <v>0.31449535855697486</v>
      </c>
      <c r="I98" s="189">
        <f>Sheet2!H97-Sheet6!$E98</f>
        <v>1.4065511957465424</v>
      </c>
      <c r="J98" s="189">
        <f>Sheet2!I97-Sheet6!$E98</f>
        <v>2.1219912157710659</v>
      </c>
      <c r="K98" s="189">
        <f>Sheet2!J97-Sheet6!$E98</f>
        <v>0.38921730465049775</v>
      </c>
      <c r="L98" s="190">
        <f>Sheet2!K97-Sheet6!$E98</f>
        <v>1.2293630664392361</v>
      </c>
    </row>
    <row r="99" spans="1:12" ht="19" x14ac:dyDescent="0.25">
      <c r="A99" s="47">
        <v>43497</v>
      </c>
      <c r="B99" s="187">
        <f>Sheet6!C99-Sheet6!E99</f>
        <v>0.33291716171739272</v>
      </c>
      <c r="C99" s="187">
        <f>Sheet2!B98-Sheet6!$E99</f>
        <v>0.58808768773026832</v>
      </c>
      <c r="D99" s="187">
        <f>Sheet2!C98-Sheet6!$E99</f>
        <v>0.34951957328370686</v>
      </c>
      <c r="E99" s="187">
        <f>Sheet2!D98-Sheet6!$E99</f>
        <v>-0.53380534936104174</v>
      </c>
      <c r="F99" s="187">
        <f>Sheet2!E98-Sheet6!$E99</f>
        <v>0.33511301983795705</v>
      </c>
      <c r="G99" s="187">
        <f>Sheet2!F98-Sheet6!$E99</f>
        <v>0.23328255682527591</v>
      </c>
      <c r="H99" s="187">
        <f>Sheet2!G98-Sheet6!$E99</f>
        <v>0.84948264563799314</v>
      </c>
      <c r="I99" s="187">
        <f>Sheet2!H98-Sheet6!$E99</f>
        <v>0.77350973683144209</v>
      </c>
      <c r="J99" s="187">
        <f>Sheet2!I98-Sheet6!$E99</f>
        <v>0.1176358833256901</v>
      </c>
      <c r="K99" s="187">
        <f>Sheet2!J98-Sheet6!$E99</f>
        <v>0.37187100763604897</v>
      </c>
      <c r="L99" s="188">
        <f>Sheet2!K98-Sheet6!$E99</f>
        <v>0.54041438359362215</v>
      </c>
    </row>
    <row r="100" spans="1:12" ht="19" x14ac:dyDescent="0.25">
      <c r="A100" s="47">
        <v>43525</v>
      </c>
      <c r="B100" s="189">
        <f>Sheet6!C100-Sheet6!E100</f>
        <v>0.1918114530129402</v>
      </c>
      <c r="C100" s="189">
        <f>Sheet2!B99-Sheet6!$E100</f>
        <v>1.0653321981957615</v>
      </c>
      <c r="D100" s="189">
        <f>Sheet2!C99-Sheet6!$E100</f>
        <v>0.73982283354598777</v>
      </c>
      <c r="E100" s="189">
        <f>Sheet2!D99-Sheet6!$E100</f>
        <v>-1.4610794816503649</v>
      </c>
      <c r="F100" s="189">
        <f>Sheet2!E99-Sheet6!$E100</f>
        <v>0.42501274580314402</v>
      </c>
      <c r="G100" s="189">
        <f>Sheet2!F99-Sheet6!$E100</f>
        <v>-0.58000790258598767</v>
      </c>
      <c r="H100" s="189">
        <f>Sheet2!G99-Sheet6!$E100</f>
        <v>0.66371620553883637</v>
      </c>
      <c r="I100" s="189">
        <f>Sheet2!H99-Sheet6!$E100</f>
        <v>0.54690269813917314</v>
      </c>
      <c r="J100" s="189">
        <f>Sheet2!I99-Sheet6!$E100</f>
        <v>-0.74668465322356004</v>
      </c>
      <c r="K100" s="189">
        <f>Sheet2!J99-Sheet6!$E100</f>
        <v>-0.20026799073513127</v>
      </c>
      <c r="L100" s="190">
        <f>Sheet2!K99-Sheet6!$E100</f>
        <v>-0.23604386937412539</v>
      </c>
    </row>
    <row r="101" spans="1:12" ht="19" x14ac:dyDescent="0.25">
      <c r="A101" s="47">
        <v>43556</v>
      </c>
      <c r="B101" s="187">
        <f>Sheet6!C101-Sheet6!E101</f>
        <v>0.44808121930567218</v>
      </c>
      <c r="C101" s="187">
        <f>Sheet2!B100-Sheet6!$E101</f>
        <v>0.42967786098460498</v>
      </c>
      <c r="D101" s="187">
        <f>Sheet2!C100-Sheet6!$E101</f>
        <v>0.51546418768122459</v>
      </c>
      <c r="E101" s="187">
        <f>Sheet2!D100-Sheet6!$E101</f>
        <v>2.2859781292775527</v>
      </c>
      <c r="F101" s="187">
        <f>Sheet2!E100-Sheet6!$E101</f>
        <v>0.65927436157813235</v>
      </c>
      <c r="G101" s="187">
        <f>Sheet2!F100-Sheet6!$E101</f>
        <v>1.2767912785719522</v>
      </c>
      <c r="H101" s="187">
        <f>Sheet2!G100-Sheet6!$E101</f>
        <v>1.264434425643352</v>
      </c>
      <c r="I101" s="187">
        <f>Sheet2!H100-Sheet6!$E101</f>
        <v>0.93397798439730872</v>
      </c>
      <c r="J101" s="187">
        <f>Sheet2!I100-Sheet6!$E101</f>
        <v>0.69973416358979323</v>
      </c>
      <c r="K101" s="187">
        <f>Sheet2!J100-Sheet6!$E101</f>
        <v>0.69774228910430003</v>
      </c>
      <c r="L101" s="188">
        <f>Sheet2!K100-Sheet6!$E101</f>
        <v>0.52437542190605468</v>
      </c>
    </row>
    <row r="102" spans="1:12" ht="19" x14ac:dyDescent="0.25">
      <c r="A102" s="47">
        <v>43586</v>
      </c>
      <c r="B102" s="189">
        <f>Sheet6!C102-Sheet6!E102</f>
        <v>-0.81226271777393844</v>
      </c>
      <c r="C102" s="189">
        <f>Sheet2!B101-Sheet6!$E102</f>
        <v>-0.22822408415273931</v>
      </c>
      <c r="D102" s="189">
        <f>Sheet2!C101-Sheet6!$E102</f>
        <v>-0.27318536583857689</v>
      </c>
      <c r="E102" s="189">
        <f>Sheet2!D101-Sheet6!$E102</f>
        <v>-0.58755157166213168</v>
      </c>
      <c r="F102" s="189">
        <f>Sheet2!E101-Sheet6!$E102</f>
        <v>-1.0099511512469996</v>
      </c>
      <c r="G102" s="189">
        <f>Sheet2!F101-Sheet6!$E102</f>
        <v>-1.5847358888180463</v>
      </c>
      <c r="H102" s="189">
        <f>Sheet2!G101-Sheet6!$E102</f>
        <v>-0.65876576191750391</v>
      </c>
      <c r="I102" s="189">
        <f>Sheet2!H101-Sheet6!$E102</f>
        <v>-0.13615318527222831</v>
      </c>
      <c r="J102" s="189">
        <f>Sheet2!I101-Sheet6!$E102</f>
        <v>-1.7513006233740736</v>
      </c>
      <c r="K102" s="189">
        <f>Sheet2!J101-Sheet6!$E102</f>
        <v>-0.18629105301658633</v>
      </c>
      <c r="L102" s="190">
        <f>Sheet2!K101-Sheet6!$E102</f>
        <v>-1.4834803343968861</v>
      </c>
    </row>
    <row r="103" spans="1:12" ht="19" x14ac:dyDescent="0.25">
      <c r="A103" s="47">
        <v>43617</v>
      </c>
      <c r="B103" s="187">
        <f>Sheet6!C103-Sheet6!E103</f>
        <v>0.80681219849857977</v>
      </c>
      <c r="C103" s="187">
        <f>Sheet2!B102-Sheet6!$E103</f>
        <v>0.43115830744383177</v>
      </c>
      <c r="D103" s="187">
        <f>Sheet2!C102-Sheet6!$E103</f>
        <v>1.26687995327543</v>
      </c>
      <c r="E103" s="187">
        <f>Sheet2!D102-Sheet6!$E103</f>
        <v>1.0771497500000016</v>
      </c>
      <c r="F103" s="187">
        <f>Sheet2!E102-Sheet6!$E103</f>
        <v>0.86197164369115475</v>
      </c>
      <c r="G103" s="187">
        <f>Sheet2!F102-Sheet6!$E103</f>
        <v>1.0623566351361577</v>
      </c>
      <c r="H103" s="187">
        <f>Sheet2!G102-Sheet6!$E103</f>
        <v>1.0251744528915583</v>
      </c>
      <c r="I103" s="187">
        <f>Sheet2!H102-Sheet6!$E103</f>
        <v>0.60186303815153652</v>
      </c>
      <c r="J103" s="187">
        <f>Sheet2!I102-Sheet6!$E103</f>
        <v>1.8476760449702252</v>
      </c>
      <c r="K103" s="187">
        <f>Sheet2!J102-Sheet6!$E103</f>
        <v>1.1196674984990254</v>
      </c>
      <c r="L103" s="188">
        <f>Sheet2!K102-Sheet6!$E103</f>
        <v>1.0753734577616982</v>
      </c>
    </row>
    <row r="104" spans="1:12" ht="19" x14ac:dyDescent="0.25">
      <c r="A104" s="47">
        <v>43647</v>
      </c>
      <c r="B104" s="189">
        <f>Sheet6!C104-Sheet6!E104</f>
        <v>0.13723834439247251</v>
      </c>
      <c r="C104" s="189">
        <f>Sheet2!B103-Sheet6!$E104</f>
        <v>0.48692408386305597</v>
      </c>
      <c r="D104" s="189">
        <f>Sheet2!C103-Sheet6!$E104</f>
        <v>1.5342739740507703</v>
      </c>
      <c r="E104" s="189">
        <f>Sheet2!D103-Sheet6!$E104</f>
        <v>1.003559992820384</v>
      </c>
      <c r="F104" s="189">
        <f>Sheet2!E103-Sheet6!$E104</f>
        <v>0.28702846225434686</v>
      </c>
      <c r="G104" s="189">
        <f>Sheet2!F103-Sheet6!$E104</f>
        <v>0.74347016106913233</v>
      </c>
      <c r="H104" s="189">
        <f>Sheet2!G103-Sheet6!$E104</f>
        <v>0.18662771726802663</v>
      </c>
      <c r="I104" s="189">
        <f>Sheet2!H103-Sheet6!$E104</f>
        <v>0.33081423270391741</v>
      </c>
      <c r="J104" s="189">
        <f>Sheet2!I103-Sheet6!$E104</f>
        <v>0.67805287556044447</v>
      </c>
      <c r="K104" s="189">
        <f>Sheet2!J103-Sheet6!$E104</f>
        <v>-3.224829353057658E-2</v>
      </c>
      <c r="L104" s="190">
        <f>Sheet2!K103-Sheet6!$E104</f>
        <v>0.27702072609132311</v>
      </c>
    </row>
    <row r="105" spans="1:12" ht="19" x14ac:dyDescent="0.25">
      <c r="A105" s="47">
        <v>43678</v>
      </c>
      <c r="B105" s="187">
        <f>Sheet6!C105-Sheet6!E105</f>
        <v>-0.23642983290721314</v>
      </c>
      <c r="C105" s="187">
        <f>Sheet2!B104-Sheet6!$E105</f>
        <v>0.32899184855532854</v>
      </c>
      <c r="D105" s="187">
        <f>Sheet2!C104-Sheet6!$E105</f>
        <v>0.21765410714472472</v>
      </c>
      <c r="E105" s="187">
        <f>Sheet2!D104-Sheet6!$E105</f>
        <v>-8.7779776741480492E-3</v>
      </c>
      <c r="F105" s="187">
        <f>Sheet2!E104-Sheet6!$E105</f>
        <v>-0.24727440856657429</v>
      </c>
      <c r="G105" s="187">
        <f>Sheet2!F104-Sheet6!$E105</f>
        <v>-1.2592247752085912</v>
      </c>
      <c r="H105" s="187">
        <f>Sheet2!G104-Sheet6!$E105</f>
        <v>0.12068495901088923</v>
      </c>
      <c r="I105" s="187">
        <f>Sheet2!H104-Sheet6!$E105</f>
        <v>0.39679757288014988</v>
      </c>
      <c r="J105" s="187">
        <f>Sheet2!I104-Sheet6!$E105</f>
        <v>-0.98611190197689724</v>
      </c>
      <c r="K105" s="187">
        <f>Sheet2!J104-Sheet6!$E105</f>
        <v>0.40248820707772831</v>
      </c>
      <c r="L105" s="188">
        <f>Sheet2!K104-Sheet6!$E105</f>
        <v>-0.23274425959410733</v>
      </c>
    </row>
    <row r="106" spans="1:12" ht="19" x14ac:dyDescent="0.25">
      <c r="A106" s="47">
        <v>43709</v>
      </c>
      <c r="B106" s="189">
        <f>Sheet6!C106-Sheet6!E106</f>
        <v>0.18847401228788169</v>
      </c>
      <c r="C106" s="189">
        <f>Sheet2!B105-Sheet6!$E106</f>
        <v>-0.37012343527695885</v>
      </c>
      <c r="D106" s="189">
        <f>Sheet2!C105-Sheet6!$E106</f>
        <v>-0.98764961907161597</v>
      </c>
      <c r="E106" s="189">
        <f>Sheet2!D105-Sheet6!$E106</f>
        <v>0.45040774907749143</v>
      </c>
      <c r="F106" s="189">
        <f>Sheet2!E105-Sheet6!$E106</f>
        <v>6.8073583040007046E-2</v>
      </c>
      <c r="G106" s="189">
        <f>Sheet2!F105-Sheet6!$E106</f>
        <v>0.70639944334070348</v>
      </c>
      <c r="H106" s="189">
        <f>Sheet2!G105-Sheet6!$E106</f>
        <v>0.12443966417940061</v>
      </c>
      <c r="I106" s="189">
        <f>Sheet2!H105-Sheet6!$E106</f>
        <v>-0.43565565686141156</v>
      </c>
      <c r="J106" s="189">
        <f>Sheet2!I105-Sheet6!$E106</f>
        <v>0.10847963335151839</v>
      </c>
      <c r="K106" s="189">
        <f>Sheet2!J105-Sheet6!$E106</f>
        <v>0.50785780014283732</v>
      </c>
      <c r="L106" s="190">
        <f>Sheet2!K105-Sheet6!$E106</f>
        <v>1.3545063951874323</v>
      </c>
    </row>
    <row r="107" spans="1:12" ht="19" x14ac:dyDescent="0.25">
      <c r="A107" s="47">
        <v>43739</v>
      </c>
      <c r="B107" s="187">
        <f>Sheet6!C107-Sheet6!E107</f>
        <v>0.23020096978573923</v>
      </c>
      <c r="C107" s="187">
        <f>Sheet2!B106-Sheet6!$E107</f>
        <v>-0.44731700727091672</v>
      </c>
      <c r="D107" s="187">
        <f>Sheet2!C106-Sheet6!$E107</f>
        <v>-0.53884393874736691</v>
      </c>
      <c r="E107" s="187">
        <f>Sheet2!D106-Sheet6!$E107</f>
        <v>0.33002273389138059</v>
      </c>
      <c r="F107" s="187">
        <f>Sheet2!E106-Sheet6!$E107</f>
        <v>0.53588642599316527</v>
      </c>
      <c r="G107" s="187">
        <f>Sheet2!F106-Sheet6!$E107</f>
        <v>0.93370666830241289</v>
      </c>
      <c r="H107" s="187">
        <f>Sheet2!G106-Sheet6!$E107</f>
        <v>0.35961578481040535</v>
      </c>
      <c r="I107" s="187">
        <f>Sheet2!H106-Sheet6!$E107</f>
        <v>0.21656307645065231</v>
      </c>
      <c r="J107" s="187">
        <f>Sheet2!I106-Sheet6!$E107</f>
        <v>1.9795702949116853E-3</v>
      </c>
      <c r="K107" s="187">
        <f>Sheet2!J106-Sheet6!$E107</f>
        <v>-0.15855940838471527</v>
      </c>
      <c r="L107" s="188">
        <f>Sheet2!K106-Sheet6!$E107</f>
        <v>-0.57332668171239742</v>
      </c>
    </row>
    <row r="108" spans="1:12" ht="19" x14ac:dyDescent="0.25">
      <c r="A108" s="47">
        <v>43770</v>
      </c>
      <c r="B108" s="189">
        <f>Sheet6!C108-Sheet6!E108</f>
        <v>0.39316476909098214</v>
      </c>
      <c r="C108" s="189">
        <f>Sheet2!B107-Sheet6!$E108</f>
        <v>1.0591948863518899</v>
      </c>
      <c r="D108" s="189">
        <f>Sheet2!C107-Sheet6!$E108</f>
        <v>0.10806222260559703</v>
      </c>
      <c r="E108" s="189">
        <f>Sheet2!D107-Sheet6!$E108</f>
        <v>0.50736795913963617</v>
      </c>
      <c r="F108" s="189">
        <f>Sheet2!E107-Sheet6!$E108</f>
        <v>0.4729298514579337</v>
      </c>
      <c r="G108" s="189">
        <f>Sheet2!F107-Sheet6!$E108</f>
        <v>0.77129519698718918</v>
      </c>
      <c r="H108" s="189">
        <f>Sheet2!G107-Sheet6!$E108</f>
        <v>0.6550338518927431</v>
      </c>
      <c r="I108" s="189">
        <f>Sheet2!H107-Sheet6!$E108</f>
        <v>0.66844960182022783</v>
      </c>
      <c r="J108" s="189">
        <f>Sheet2!I107-Sheet6!$E108</f>
        <v>-0.38999595252128255</v>
      </c>
      <c r="K108" s="189">
        <f>Sheet2!J107-Sheet6!$E108</f>
        <v>0.1718758473153171</v>
      </c>
      <c r="L108" s="190">
        <f>Sheet2!K107-Sheet6!$E108</f>
        <v>0.51257190540828612</v>
      </c>
    </row>
    <row r="109" spans="1:12" ht="19" x14ac:dyDescent="0.25">
      <c r="A109" s="47">
        <v>43800</v>
      </c>
      <c r="B109" s="187">
        <f>Sheet6!C109-Sheet6!E109</f>
        <v>0.32802763818935565</v>
      </c>
      <c r="C109" s="187">
        <f>Sheet2!B108-Sheet6!$E109</f>
        <v>0.54629393981504792</v>
      </c>
      <c r="D109" s="187">
        <f>Sheet2!C108-Sheet6!$E109</f>
        <v>0.39644271009193011</v>
      </c>
      <c r="E109" s="187">
        <f>Sheet2!D108-Sheet6!$E109</f>
        <v>0.83939234404537055</v>
      </c>
      <c r="F109" s="187">
        <f>Sheet2!E108-Sheet6!$E109</f>
        <v>0.42434507426092294</v>
      </c>
      <c r="G109" s="187">
        <f>Sheet2!F108-Sheet6!$E109</f>
        <v>0.66922739166580181</v>
      </c>
      <c r="H109" s="187">
        <f>Sheet2!G108-Sheet6!$E109</f>
        <v>0.52847932783158802</v>
      </c>
      <c r="I109" s="187">
        <f>Sheet2!H108-Sheet6!$E109</f>
        <v>0.24611410909722009</v>
      </c>
      <c r="J109" s="187">
        <f>Sheet2!I108-Sheet6!$E109</f>
        <v>0.18494937479769868</v>
      </c>
      <c r="K109" s="187">
        <f>Sheet2!J108-Sheet6!$E109</f>
        <v>-4.0242030733597105E-2</v>
      </c>
      <c r="L109" s="188">
        <f>Sheet2!K108-Sheet6!$E109</f>
        <v>1.0226245227447675</v>
      </c>
    </row>
    <row r="110" spans="1:12" ht="19" x14ac:dyDescent="0.25">
      <c r="A110" s="47">
        <v>43831</v>
      </c>
      <c r="B110" s="189">
        <f>Sheet6!C110-Sheet6!E110</f>
        <v>-3.4637077733551291E-2</v>
      </c>
      <c r="C110" s="189">
        <f>Sheet2!B109-Sheet6!$E110</f>
        <v>-0.32055609706503951</v>
      </c>
      <c r="D110" s="189">
        <f>Sheet2!C109-Sheet6!$E110</f>
        <v>-0.4368461685607673</v>
      </c>
      <c r="E110" s="189">
        <f>Sheet2!D109-Sheet6!$E110</f>
        <v>0.369605882352943</v>
      </c>
      <c r="F110" s="189">
        <f>Sheet2!E109-Sheet6!$E110</f>
        <v>0.37631941337461272</v>
      </c>
      <c r="G110" s="189">
        <f>Sheet2!F109-Sheet6!$E110</f>
        <v>-0.7683422410179005</v>
      </c>
      <c r="H110" s="189">
        <f>Sheet2!G109-Sheet6!$E110</f>
        <v>0.93835477545252599</v>
      </c>
      <c r="I110" s="189">
        <f>Sheet2!H109-Sheet6!$E110</f>
        <v>0.68217650645398853</v>
      </c>
      <c r="J110" s="189">
        <f>Sheet2!I109-Sheet6!$E110</f>
        <v>-0.95010893149520037</v>
      </c>
      <c r="K110" s="189">
        <f>Sheet2!J109-Sheet6!$E110</f>
        <v>-0.40249074049168654</v>
      </c>
      <c r="L110" s="190">
        <f>Sheet2!K109-Sheet6!$E110</f>
        <v>-0.60852440251408135</v>
      </c>
    </row>
    <row r="111" spans="1:12" ht="19" x14ac:dyDescent="0.25">
      <c r="A111" s="47">
        <v>43862</v>
      </c>
      <c r="B111" s="187">
        <f>Sheet6!C111-Sheet6!E111</f>
        <v>-1.0216256281157776</v>
      </c>
      <c r="C111" s="187">
        <f>Sheet2!B110-Sheet6!$E111</f>
        <v>-1.4111702939380442</v>
      </c>
      <c r="D111" s="187">
        <f>Sheet2!C110-Sheet6!$E111</f>
        <v>-0.91764002530683109</v>
      </c>
      <c r="E111" s="187">
        <f>Sheet2!D110-Sheet6!$E111</f>
        <v>-1.3767911370760915</v>
      </c>
      <c r="F111" s="187">
        <f>Sheet2!E110-Sheet6!$E111</f>
        <v>-0.73919120796063065</v>
      </c>
      <c r="G111" s="187">
        <f>Sheet2!F110-Sheet6!$E111</f>
        <v>-1.5949992203559888</v>
      </c>
      <c r="H111" s="187">
        <f>Sheet2!G110-Sheet6!$E111</f>
        <v>-0.591750323694481</v>
      </c>
      <c r="I111" s="187">
        <f>Sheet2!H110-Sheet6!$E111</f>
        <v>-0.97334559267413812</v>
      </c>
      <c r="J111" s="187">
        <f>Sheet2!I110-Sheet6!$E111</f>
        <v>-1.0509340824060975</v>
      </c>
      <c r="K111" s="187">
        <f>Sheet2!J110-Sheet6!$E111</f>
        <v>-0.72607408078834967</v>
      </c>
      <c r="L111" s="188">
        <f>Sheet2!K110-Sheet6!$E111</f>
        <v>-0.87460515026172669</v>
      </c>
    </row>
    <row r="112" spans="1:12" ht="19" x14ac:dyDescent="0.25">
      <c r="A112" s="47">
        <v>43891</v>
      </c>
      <c r="B112" s="189">
        <f>Sheet6!C112-Sheet6!E112</f>
        <v>-1.5017318500314787</v>
      </c>
      <c r="C112" s="189">
        <f>Sheet2!B111-Sheet6!$E112</f>
        <v>-1.1518591594905587</v>
      </c>
      <c r="D112" s="189">
        <f>Sheet2!C111-Sheet6!$E112</f>
        <v>-1.8950248905345386</v>
      </c>
      <c r="E112" s="189">
        <f>Sheet2!D111-Sheet6!$E112</f>
        <v>-0.58293683950744701</v>
      </c>
      <c r="F112" s="189">
        <f>Sheet2!E111-Sheet6!$E112</f>
        <v>-0.89825916969368902</v>
      </c>
      <c r="G112" s="189">
        <f>Sheet2!F111-Sheet6!$E112</f>
        <v>-3.0613535304440669</v>
      </c>
      <c r="H112" s="189">
        <f>Sheet2!G111-Sheet6!$E112</f>
        <v>-0.28689173213234859</v>
      </c>
      <c r="I112" s="189">
        <f>Sheet2!H111-Sheet6!$E112</f>
        <v>-2.0133231248196468</v>
      </c>
      <c r="J112" s="189">
        <f>Sheet2!I111-Sheet6!$E112</f>
        <v>-3.8245620720663136</v>
      </c>
      <c r="K112" s="189">
        <f>Sheet2!J111-Sheet6!$E112</f>
        <v>0.66166213970503596</v>
      </c>
      <c r="L112" s="190">
        <f>Sheet2!K111-Sheet6!$E112</f>
        <v>-0.86095434728903286</v>
      </c>
    </row>
    <row r="113" spans="1:12" ht="19" x14ac:dyDescent="0.25">
      <c r="A113" s="47">
        <v>43922</v>
      </c>
      <c r="B113" s="187">
        <f>Sheet6!C113-Sheet6!E113</f>
        <v>1.5212292351978449</v>
      </c>
      <c r="C113" s="187">
        <f>Sheet2!B112-Sheet6!$E113</f>
        <v>1.6110086874620462</v>
      </c>
      <c r="D113" s="187">
        <f>Sheet2!C112-Sheet6!$E113</f>
        <v>2.0051841670001163</v>
      </c>
      <c r="E113" s="187">
        <f>Sheet2!D112-Sheet6!$E113</f>
        <v>1.0271500168976011</v>
      </c>
      <c r="F113" s="187">
        <f>Sheet2!E112-Sheet6!$E113</f>
        <v>1.8253504000022465</v>
      </c>
      <c r="G113" s="187">
        <f>Sheet2!F112-Sheet6!$E113</f>
        <v>1.6798103879480413</v>
      </c>
      <c r="H113" s="187">
        <f>Sheet2!G112-Sheet6!$E113</f>
        <v>1.6350145582425373</v>
      </c>
      <c r="I113" s="187">
        <f>Sheet2!H112-Sheet6!$E113</f>
        <v>1.6588127428868222</v>
      </c>
      <c r="J113" s="187">
        <f>Sheet2!I112-Sheet6!$E113</f>
        <v>1.0281182546532903</v>
      </c>
      <c r="K113" s="187">
        <f>Sheet2!J112-Sheet6!$E113</f>
        <v>0.8934318761136627</v>
      </c>
      <c r="L113" s="188">
        <f>Sheet2!K112-Sheet6!$E113</f>
        <v>0.64304415065621134</v>
      </c>
    </row>
    <row r="114" spans="1:12" ht="19" x14ac:dyDescent="0.25">
      <c r="A114" s="47">
        <v>43952</v>
      </c>
      <c r="B114" s="189">
        <f>Sheet6!C114-Sheet6!E114</f>
        <v>0.54210130015142122</v>
      </c>
      <c r="C114" s="189">
        <f>Sheet2!B113-Sheet6!$E114</f>
        <v>1.1223046355326605</v>
      </c>
      <c r="D114" s="189">
        <f>Sheet2!C113-Sheet6!$E114</f>
        <v>0.19577411230707081</v>
      </c>
      <c r="E114" s="189">
        <f>Sheet2!D113-Sheet6!$E114</f>
        <v>9.3973291828792715E-2</v>
      </c>
      <c r="F114" s="189">
        <f>Sheet2!E113-Sheet6!$E114</f>
        <v>0.79082676006707286</v>
      </c>
      <c r="G114" s="189">
        <f>Sheet2!F113-Sheet6!$E114</f>
        <v>3.3648450694855503E-2</v>
      </c>
      <c r="H114" s="189">
        <f>Sheet2!G113-Sheet6!$E114</f>
        <v>0.26923962424342779</v>
      </c>
      <c r="I114" s="189">
        <f>Sheet2!H113-Sheet6!$E114</f>
        <v>1.150203231823292</v>
      </c>
      <c r="J114" s="189">
        <f>Sheet2!I113-Sheet6!$E114</f>
        <v>1.9314240855673375</v>
      </c>
      <c r="K114" s="189">
        <f>Sheet2!J113-Sheet6!$E114</f>
        <v>0.24651822884933189</v>
      </c>
      <c r="L114" s="190">
        <f>Sheet2!K113-Sheet6!$E114</f>
        <v>1.5678876787383467</v>
      </c>
    </row>
    <row r="115" spans="1:12" ht="19" x14ac:dyDescent="0.25">
      <c r="A115" s="47">
        <v>43983</v>
      </c>
      <c r="B115" s="187">
        <f>Sheet6!C115-Sheet6!E115</f>
        <v>0.21931083940203197</v>
      </c>
      <c r="C115" s="187">
        <f>Sheet2!B114-Sheet6!$E115</f>
        <v>0.7783350215971887</v>
      </c>
      <c r="D115" s="187">
        <f>Sheet2!C114-Sheet6!$E115</f>
        <v>-0.61437081072030475</v>
      </c>
      <c r="E115" s="187">
        <f>Sheet2!D114-Sheet6!$E115</f>
        <v>0.80840815905626373</v>
      </c>
      <c r="F115" s="187">
        <f>Sheet2!E114-Sheet6!$E115</f>
        <v>0.73090913266820534</v>
      </c>
      <c r="G115" s="187">
        <f>Sheet2!F114-Sheet6!$E115</f>
        <v>-0.1854300150490529</v>
      </c>
      <c r="H115" s="187">
        <f>Sheet2!G114-Sheet6!$E115</f>
        <v>1.362478161873327</v>
      </c>
      <c r="I115" s="187">
        <f>Sheet2!H114-Sheet6!$E115</f>
        <v>-0.20833486170561913</v>
      </c>
      <c r="J115" s="187">
        <f>Sheet2!I114-Sheet6!$E115</f>
        <v>-0.2702835498042338</v>
      </c>
      <c r="K115" s="187">
        <f>Sheet2!J114-Sheet6!$E115</f>
        <v>-0.36437726484063054</v>
      </c>
      <c r="L115" s="188">
        <f>Sheet2!K114-Sheet6!$E115</f>
        <v>-3.6092920464391422E-2</v>
      </c>
    </row>
    <row r="116" spans="1:12" ht="19" x14ac:dyDescent="0.25">
      <c r="A116" s="47">
        <v>44013</v>
      </c>
      <c r="B116" s="189">
        <f>Sheet6!C116-Sheet6!E116</f>
        <v>0.66038556370533164</v>
      </c>
      <c r="C116" s="189">
        <f>Sheet2!B115-Sheet6!$E116</f>
        <v>0.56139057136614456</v>
      </c>
      <c r="D116" s="189">
        <f>Sheet2!C115-Sheet6!$E116</f>
        <v>0.47858319698831731</v>
      </c>
      <c r="E116" s="189">
        <f>Sheet2!D115-Sheet6!$E116</f>
        <v>1.5319347706971533</v>
      </c>
      <c r="F116" s="189">
        <f>Sheet2!E115-Sheet6!$E116</f>
        <v>0.90315441132829355</v>
      </c>
      <c r="G116" s="189">
        <f>Sheet2!F115-Sheet6!$E116</f>
        <v>0.65778738448252361</v>
      </c>
      <c r="H116" s="189">
        <f>Sheet2!G115-Sheet6!$E116</f>
        <v>8.761673904516043E-2</v>
      </c>
      <c r="I116" s="189">
        <f>Sheet2!H115-Sheet6!$E116</f>
        <v>0.51983170279377833</v>
      </c>
      <c r="J116" s="189">
        <f>Sheet2!I115-Sheet6!$E116</f>
        <v>-0.19529641084847504</v>
      </c>
      <c r="K116" s="189">
        <f>Sheet2!J115-Sheet6!$E116</f>
        <v>0.96293499297226115</v>
      </c>
      <c r="L116" s="190">
        <f>Sheet2!K115-Sheet6!$E116</f>
        <v>-5.4680944864473058E-2</v>
      </c>
    </row>
    <row r="117" spans="1:12" ht="19" x14ac:dyDescent="0.25">
      <c r="A117" s="47">
        <v>44044</v>
      </c>
      <c r="B117" s="187">
        <f>Sheet6!C117-Sheet6!E117</f>
        <v>0.83982624789063065</v>
      </c>
      <c r="C117" s="187">
        <f>Sheet2!B116-Sheet6!$E117</f>
        <v>0.85476754981791592</v>
      </c>
      <c r="D117" s="187">
        <f>Sheet2!C116-Sheet6!$E117</f>
        <v>1.2440524548786285</v>
      </c>
      <c r="E117" s="187">
        <f>Sheet2!D116-Sheet6!$E117</f>
        <v>0.10371906239955164</v>
      </c>
      <c r="F117" s="187">
        <f>Sheet2!E116-Sheet6!$E117</f>
        <v>1.3124159294563662</v>
      </c>
      <c r="G117" s="187">
        <f>Sheet2!F116-Sheet6!$E117</f>
        <v>0.41384011283081223</v>
      </c>
      <c r="H117" s="187">
        <f>Sheet2!G116-Sheet6!$E117</f>
        <v>1.2001622560674892</v>
      </c>
      <c r="I117" s="187">
        <f>Sheet2!H116-Sheet6!$E117</f>
        <v>1.9491371697740001</v>
      </c>
      <c r="J117" s="187">
        <f>Sheet2!I116-Sheet6!$E117</f>
        <v>2.2843052143533655</v>
      </c>
      <c r="K117" s="187">
        <f>Sheet2!J116-Sheet6!$E117</f>
        <v>0.87540450738699738</v>
      </c>
      <c r="L117" s="188">
        <f>Sheet2!K116-Sheet6!$E117</f>
        <v>1.7546083898768061</v>
      </c>
    </row>
    <row r="118" spans="1:12" ht="19" x14ac:dyDescent="0.25">
      <c r="A118" s="47">
        <v>44075</v>
      </c>
      <c r="B118" s="189">
        <f>Sheet6!C118-Sheet6!E118</f>
        <v>-0.47158544914593281</v>
      </c>
      <c r="C118" s="189">
        <f>Sheet2!B117-Sheet6!$E118</f>
        <v>-0.69805237308368873</v>
      </c>
      <c r="D118" s="189">
        <f>Sheet2!C117-Sheet6!$E118</f>
        <v>0.271539292694565</v>
      </c>
      <c r="E118" s="189">
        <f>Sheet2!D117-Sheet6!$E118</f>
        <v>-0.28925269949647459</v>
      </c>
      <c r="F118" s="189">
        <f>Sheet2!E117-Sheet6!$E118</f>
        <v>-0.6942829168948601</v>
      </c>
      <c r="G118" s="189">
        <f>Sheet2!F117-Sheet6!$E118</f>
        <v>-0.77007993542737352</v>
      </c>
      <c r="H118" s="189">
        <f>Sheet2!G117-Sheet6!$E118</f>
        <v>-0.78255876362579957</v>
      </c>
      <c r="I118" s="189">
        <f>Sheet2!H117-Sheet6!$E118</f>
        <v>-0.67155563453372635</v>
      </c>
      <c r="J118" s="189">
        <f>Sheet2!I117-Sheet6!$E118</f>
        <v>-1.7049393054316502E-2</v>
      </c>
      <c r="K118" s="189">
        <f>Sheet2!J117-Sheet6!$E118</f>
        <v>0.14046974401638559</v>
      </c>
      <c r="L118" s="190">
        <f>Sheet2!K117-Sheet6!$E118</f>
        <v>1.4929137448067384</v>
      </c>
    </row>
    <row r="119" spans="1:12" ht="19" x14ac:dyDescent="0.25">
      <c r="A119" s="47">
        <v>44105</v>
      </c>
      <c r="B119" s="187">
        <f>Sheet6!C119-Sheet6!E119</f>
        <v>-0.33281929527207799</v>
      </c>
      <c r="C119" s="187">
        <f>Sheet2!B118-Sheet6!$E119</f>
        <v>-0.4829758945984518</v>
      </c>
      <c r="D119" s="187">
        <f>Sheet2!C118-Sheet6!$E119</f>
        <v>0.14442029827940017</v>
      </c>
      <c r="E119" s="187">
        <f>Sheet2!D118-Sheet6!$E119</f>
        <v>1.0795615048859939</v>
      </c>
      <c r="F119" s="187">
        <f>Sheet2!E118-Sheet6!$E119</f>
        <v>-0.3662205984374286</v>
      </c>
      <c r="G119" s="187">
        <f>Sheet2!F118-Sheet6!$E119</f>
        <v>-0.11286253677254654</v>
      </c>
      <c r="H119" s="187">
        <f>Sheet2!G118-Sheet6!$E119</f>
        <v>-0.44926700693230648</v>
      </c>
      <c r="I119" s="187">
        <f>Sheet2!H118-Sheet6!$E119</f>
        <v>-1.7584071882388903</v>
      </c>
      <c r="J119" s="187">
        <f>Sheet2!I118-Sheet6!$E119</f>
        <v>2.002549114565729</v>
      </c>
      <c r="K119" s="187">
        <f>Sheet2!J118-Sheet6!$E119</f>
        <v>-0.10032393263678852</v>
      </c>
      <c r="L119" s="188">
        <f>Sheet2!K118-Sheet6!$E119</f>
        <v>-0.52273537845462081</v>
      </c>
    </row>
    <row r="120" spans="1:12" ht="19" x14ac:dyDescent="0.25">
      <c r="A120" s="47">
        <v>44136</v>
      </c>
      <c r="B120" s="189">
        <f>Sheet6!C120-Sheet6!E120</f>
        <v>1.2897978966103576</v>
      </c>
      <c r="C120" s="189">
        <f>Sheet2!B119-Sheet6!$E120</f>
        <v>1.8334883072976398</v>
      </c>
      <c r="D120" s="189">
        <f>Sheet2!C119-Sheet6!$E120</f>
        <v>1.5254680364124846</v>
      </c>
      <c r="E120" s="189">
        <f>Sheet2!D119-Sheet6!$E120</f>
        <v>1.3805547869325947</v>
      </c>
      <c r="F120" s="189">
        <f>Sheet2!E119-Sheet6!$E120</f>
        <v>1.3463422189206327</v>
      </c>
      <c r="G120" s="189">
        <f>Sheet2!F119-Sheet6!$E120</f>
        <v>2.2574766158076063</v>
      </c>
      <c r="H120" s="189">
        <f>Sheet2!G119-Sheet6!$E120</f>
        <v>0.68675904320328307</v>
      </c>
      <c r="I120" s="189">
        <f>Sheet2!H119-Sheet6!$E120</f>
        <v>2.0057007842373009</v>
      </c>
      <c r="J120" s="189">
        <f>Sheet2!I119-Sheet6!$E120</f>
        <v>3.2346978782348081</v>
      </c>
      <c r="K120" s="189">
        <f>Sheet2!J119-Sheet6!$E120</f>
        <v>1.2135210015520386</v>
      </c>
      <c r="L120" s="190">
        <f>Sheet2!K119-Sheet6!$E120</f>
        <v>1.4602762417287902</v>
      </c>
    </row>
    <row r="121" spans="1:12" ht="20" thickBot="1" x14ac:dyDescent="0.3">
      <c r="A121" s="48">
        <v>44166</v>
      </c>
      <c r="B121" s="191">
        <f>Sheet6!C121-Sheet6!E121</f>
        <v>0.44480687991318774</v>
      </c>
      <c r="C121" s="191">
        <f>Sheet2!B120-Sheet6!$E121</f>
        <v>0.58323591676533515</v>
      </c>
      <c r="D121" s="191">
        <f>Sheet2!C120-Sheet6!$E121</f>
        <v>1.1580297661038517</v>
      </c>
      <c r="E121" s="191">
        <f>Sheet2!D120-Sheet6!$E121</f>
        <v>1.003958886219219</v>
      </c>
      <c r="F121" s="191">
        <f>Sheet2!E120-Sheet6!$E121</f>
        <v>0.56486579405309834</v>
      </c>
      <c r="G121" s="191">
        <f>Sheet2!F120-Sheet6!$E121</f>
        <v>0.915543406460815</v>
      </c>
      <c r="H121" s="191">
        <f>Sheet2!G120-Sheet6!$E121</f>
        <v>0.50006283078656932</v>
      </c>
      <c r="I121" s="191">
        <f>Sheet2!H120-Sheet6!$E121</f>
        <v>0.7278870926045935</v>
      </c>
      <c r="J121" s="191">
        <f>Sheet2!I120-Sheet6!$E121</f>
        <v>-0.60284005474452518</v>
      </c>
      <c r="K121" s="191">
        <f>Sheet2!J120-Sheet6!$E121</f>
        <v>-0.67922836762369498</v>
      </c>
      <c r="L121" s="192">
        <f>Sheet2!K120-Sheet6!$E121</f>
        <v>0.60246875096827091</v>
      </c>
    </row>
    <row r="146" spans="2:11" x14ac:dyDescent="0.2">
      <c r="B146" s="5"/>
      <c r="C146" s="5"/>
      <c r="D146" s="5"/>
      <c r="E146" s="5"/>
      <c r="F146" s="5"/>
      <c r="G146" s="5"/>
      <c r="H146" s="5"/>
      <c r="I146" s="5"/>
      <c r="J146" s="5"/>
      <c r="K146" s="5"/>
    </row>
  </sheetData>
  <mergeCells count="2">
    <mergeCell ref="S1:U1"/>
    <mergeCell ref="W1:Y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5FF65-996E-DC4D-B74E-0BF48B0B8F8B}">
  <dimension ref="A1:AA72"/>
  <sheetViews>
    <sheetView showGridLines="0" workbookViewId="0">
      <selection activeCell="Z32" sqref="Z32"/>
    </sheetView>
  </sheetViews>
  <sheetFormatPr baseColWidth="10" defaultRowHeight="16" x14ac:dyDescent="0.2"/>
  <cols>
    <col min="6" max="6" width="13" bestFit="1" customWidth="1"/>
    <col min="9" max="9" width="12.33203125" bestFit="1" customWidth="1"/>
    <col min="18" max="18" width="12.33203125" bestFit="1" customWidth="1"/>
    <col min="27" max="27" width="12.33203125" bestFit="1" customWidth="1"/>
  </cols>
  <sheetData>
    <row r="1" spans="1:27" ht="22" thickBot="1" x14ac:dyDescent="0.25">
      <c r="A1" s="37" t="s">
        <v>3</v>
      </c>
      <c r="B1" s="38"/>
      <c r="C1" s="38"/>
      <c r="D1" s="38"/>
      <c r="E1" s="38"/>
      <c r="F1" s="38"/>
      <c r="G1" s="38"/>
      <c r="H1" s="38"/>
      <c r="I1" s="39"/>
      <c r="J1" s="37" t="s">
        <v>6</v>
      </c>
      <c r="K1" s="38"/>
      <c r="L1" s="38"/>
      <c r="M1" s="38"/>
      <c r="N1" s="38"/>
      <c r="O1" s="38"/>
      <c r="P1" s="38"/>
      <c r="Q1" s="38"/>
      <c r="R1" s="39"/>
      <c r="S1" s="37" t="s">
        <v>10</v>
      </c>
      <c r="T1" s="38"/>
      <c r="U1" s="38"/>
      <c r="V1" s="38"/>
      <c r="W1" s="38"/>
      <c r="X1" s="38"/>
      <c r="Y1" s="38"/>
      <c r="Z1" s="38"/>
      <c r="AA1" s="39"/>
    </row>
    <row r="2" spans="1:27" ht="17" thickBot="1" x14ac:dyDescent="0.25">
      <c r="A2" s="14"/>
      <c r="B2" s="22"/>
      <c r="C2" s="22"/>
      <c r="D2" s="22"/>
      <c r="E2" s="22"/>
      <c r="F2" s="22"/>
      <c r="G2" s="22"/>
      <c r="H2" s="22"/>
      <c r="I2" s="27"/>
      <c r="J2" s="14"/>
      <c r="K2" s="22"/>
      <c r="L2" s="22"/>
      <c r="M2" s="22"/>
      <c r="N2" s="22"/>
      <c r="O2" s="22"/>
      <c r="P2" s="22"/>
      <c r="Q2" s="22"/>
      <c r="R2" s="27"/>
      <c r="S2" s="14"/>
      <c r="T2" s="22"/>
      <c r="U2" s="22"/>
      <c r="V2" s="22"/>
      <c r="W2" s="22"/>
      <c r="X2" s="22"/>
      <c r="Y2" s="22"/>
      <c r="Z2" s="22"/>
      <c r="AA2" s="27"/>
    </row>
    <row r="3" spans="1:27" x14ac:dyDescent="0.2">
      <c r="A3" s="28" t="s">
        <v>85</v>
      </c>
      <c r="B3" s="26"/>
      <c r="C3" s="22"/>
      <c r="D3" s="22"/>
      <c r="E3" s="22"/>
      <c r="F3" s="22"/>
      <c r="G3" s="22"/>
      <c r="H3" s="22"/>
      <c r="I3" s="27"/>
      <c r="J3" s="28" t="s">
        <v>85</v>
      </c>
      <c r="K3" s="26"/>
      <c r="L3" s="22"/>
      <c r="M3" s="22"/>
      <c r="N3" s="22"/>
      <c r="O3" s="22"/>
      <c r="P3" s="22"/>
      <c r="Q3" s="22"/>
      <c r="R3" s="27"/>
      <c r="S3" s="28" t="s">
        <v>85</v>
      </c>
      <c r="T3" s="26"/>
      <c r="U3" s="22"/>
      <c r="V3" s="22"/>
      <c r="W3" s="22"/>
      <c r="X3" s="22"/>
      <c r="Y3" s="22"/>
      <c r="Z3" s="22"/>
      <c r="AA3" s="27"/>
    </row>
    <row r="4" spans="1:27" x14ac:dyDescent="0.2">
      <c r="A4" s="20" t="s">
        <v>86</v>
      </c>
      <c r="B4" s="8">
        <v>0.75603866223092875</v>
      </c>
      <c r="C4" s="22"/>
      <c r="D4" s="22"/>
      <c r="E4" s="22"/>
      <c r="F4" s="22"/>
      <c r="G4" s="22"/>
      <c r="H4" s="22"/>
      <c r="I4" s="27"/>
      <c r="J4" s="20" t="s">
        <v>86</v>
      </c>
      <c r="K4" s="8">
        <v>0.51533576279530358</v>
      </c>
      <c r="L4" s="22"/>
      <c r="M4" s="22"/>
      <c r="N4" s="22"/>
      <c r="O4" s="22"/>
      <c r="P4" s="22"/>
      <c r="Q4" s="22"/>
      <c r="R4" s="27"/>
      <c r="S4" s="20" t="s">
        <v>86</v>
      </c>
      <c r="T4" s="8">
        <v>0.49476879725062245</v>
      </c>
      <c r="U4" s="22"/>
      <c r="V4" s="22"/>
      <c r="W4" s="22"/>
      <c r="X4" s="22"/>
      <c r="Y4" s="22"/>
      <c r="Z4" s="22"/>
      <c r="AA4" s="27"/>
    </row>
    <row r="5" spans="1:27" x14ac:dyDescent="0.2">
      <c r="A5" s="20" t="s">
        <v>87</v>
      </c>
      <c r="B5" s="8">
        <v>0.57159445878793236</v>
      </c>
      <c r="C5" s="22"/>
      <c r="D5" s="22"/>
      <c r="E5" s="22"/>
      <c r="F5" s="22"/>
      <c r="G5" s="22"/>
      <c r="H5" s="22"/>
      <c r="I5" s="27"/>
      <c r="J5" s="20" t="s">
        <v>87</v>
      </c>
      <c r="K5" s="8">
        <v>0.26557094841581741</v>
      </c>
      <c r="L5" s="22"/>
      <c r="M5" s="22"/>
      <c r="N5" s="22"/>
      <c r="O5" s="22"/>
      <c r="P5" s="22"/>
      <c r="Q5" s="22"/>
      <c r="R5" s="27"/>
      <c r="S5" s="20" t="s">
        <v>87</v>
      </c>
      <c r="T5" s="8">
        <v>0.24479616273282756</v>
      </c>
      <c r="U5" s="22"/>
      <c r="V5" s="22"/>
      <c r="W5" s="22"/>
      <c r="X5" s="22"/>
      <c r="Y5" s="22"/>
      <c r="Z5" s="22"/>
      <c r="AA5" s="27"/>
    </row>
    <row r="6" spans="1:27" x14ac:dyDescent="0.2">
      <c r="A6" s="20" t="s">
        <v>88</v>
      </c>
      <c r="B6" s="8">
        <v>0.56793287296560702</v>
      </c>
      <c r="C6" s="22"/>
      <c r="D6" s="22"/>
      <c r="E6" s="22"/>
      <c r="F6" s="22"/>
      <c r="G6" s="22"/>
      <c r="H6" s="22"/>
      <c r="I6" s="27"/>
      <c r="J6" s="20" t="s">
        <v>88</v>
      </c>
      <c r="K6" s="8">
        <v>0.25929377703475603</v>
      </c>
      <c r="L6" s="22"/>
      <c r="M6" s="22"/>
      <c r="N6" s="22"/>
      <c r="O6" s="22"/>
      <c r="P6" s="22"/>
      <c r="Q6" s="22"/>
      <c r="R6" s="27"/>
      <c r="S6" s="20" t="s">
        <v>88</v>
      </c>
      <c r="T6" s="8">
        <v>0.23834142908097139</v>
      </c>
      <c r="U6" s="22"/>
      <c r="V6" s="22"/>
      <c r="W6" s="22"/>
      <c r="X6" s="22"/>
      <c r="Y6" s="22"/>
      <c r="Z6" s="22"/>
      <c r="AA6" s="27"/>
    </row>
    <row r="7" spans="1:27" x14ac:dyDescent="0.2">
      <c r="A7" s="20" t="s">
        <v>89</v>
      </c>
      <c r="B7" s="8">
        <v>0.44846482206155258</v>
      </c>
      <c r="C7" s="22"/>
      <c r="D7" s="22"/>
      <c r="E7" s="22"/>
      <c r="F7" s="22"/>
      <c r="G7" s="22"/>
      <c r="H7" s="22"/>
      <c r="I7" s="27"/>
      <c r="J7" s="20" t="s">
        <v>89</v>
      </c>
      <c r="K7" s="8">
        <v>0.62597388620079564</v>
      </c>
      <c r="L7" s="22"/>
      <c r="M7" s="22"/>
      <c r="N7" s="22"/>
      <c r="O7" s="22"/>
      <c r="P7" s="22"/>
      <c r="Q7" s="22"/>
      <c r="R7" s="27"/>
      <c r="S7" s="20" t="s">
        <v>89</v>
      </c>
      <c r="T7" s="8">
        <v>1.0378296424945508</v>
      </c>
      <c r="U7" s="22"/>
      <c r="V7" s="22"/>
      <c r="W7" s="22"/>
      <c r="X7" s="22"/>
      <c r="Y7" s="22"/>
      <c r="Z7" s="22"/>
      <c r="AA7" s="27"/>
    </row>
    <row r="8" spans="1:27" ht="17" thickBot="1" x14ac:dyDescent="0.25">
      <c r="A8" s="21" t="s">
        <v>90</v>
      </c>
      <c r="B8" s="9">
        <v>119</v>
      </c>
      <c r="C8" s="22"/>
      <c r="D8" s="22"/>
      <c r="E8" s="22"/>
      <c r="F8" s="22"/>
      <c r="G8" s="22"/>
      <c r="H8" s="22"/>
      <c r="I8" s="27"/>
      <c r="J8" s="21" t="s">
        <v>90</v>
      </c>
      <c r="K8" s="9">
        <v>119</v>
      </c>
      <c r="L8" s="22"/>
      <c r="M8" s="22"/>
      <c r="N8" s="22"/>
      <c r="O8" s="22"/>
      <c r="P8" s="22"/>
      <c r="Q8" s="22"/>
      <c r="R8" s="27"/>
      <c r="S8" s="21" t="s">
        <v>90</v>
      </c>
      <c r="T8" s="9">
        <v>119</v>
      </c>
      <c r="U8" s="22"/>
      <c r="V8" s="22"/>
      <c r="W8" s="22"/>
      <c r="X8" s="22"/>
      <c r="Y8" s="22"/>
      <c r="Z8" s="22"/>
      <c r="AA8" s="27"/>
    </row>
    <row r="9" spans="1:27" x14ac:dyDescent="0.2">
      <c r="A9" s="14"/>
      <c r="B9" s="22"/>
      <c r="C9" s="22"/>
      <c r="D9" s="22"/>
      <c r="E9" s="22"/>
      <c r="F9" s="22"/>
      <c r="G9" s="22"/>
      <c r="H9" s="22"/>
      <c r="I9" s="27"/>
      <c r="J9" s="14"/>
      <c r="K9" s="22"/>
      <c r="L9" s="22"/>
      <c r="M9" s="22"/>
      <c r="N9" s="22"/>
      <c r="O9" s="22"/>
      <c r="P9" s="22"/>
      <c r="Q9" s="22"/>
      <c r="R9" s="27"/>
      <c r="S9" s="14"/>
      <c r="T9" s="22"/>
      <c r="U9" s="22"/>
      <c r="V9" s="22"/>
      <c r="W9" s="22"/>
      <c r="X9" s="22"/>
      <c r="Y9" s="22"/>
      <c r="Z9" s="22"/>
      <c r="AA9" s="27"/>
    </row>
    <row r="10" spans="1:27" ht="17" thickBot="1" x14ac:dyDescent="0.25">
      <c r="A10" s="14" t="s">
        <v>91</v>
      </c>
      <c r="B10" s="22"/>
      <c r="C10" s="22"/>
      <c r="D10" s="22"/>
      <c r="E10" s="22"/>
      <c r="F10" s="22"/>
      <c r="G10" s="22"/>
      <c r="H10" s="22"/>
      <c r="I10" s="27"/>
      <c r="J10" s="14" t="s">
        <v>91</v>
      </c>
      <c r="K10" s="22"/>
      <c r="L10" s="22"/>
      <c r="M10" s="22"/>
      <c r="N10" s="22"/>
      <c r="O10" s="22"/>
      <c r="P10" s="22"/>
      <c r="Q10" s="22"/>
      <c r="R10" s="27"/>
      <c r="S10" s="14" t="s">
        <v>91</v>
      </c>
      <c r="T10" s="22"/>
      <c r="U10" s="22"/>
      <c r="V10" s="22"/>
      <c r="W10" s="22"/>
      <c r="X10" s="22"/>
      <c r="Y10" s="22"/>
      <c r="Z10" s="22"/>
      <c r="AA10" s="27"/>
    </row>
    <row r="11" spans="1:27" x14ac:dyDescent="0.2">
      <c r="A11" s="19"/>
      <c r="B11" s="10" t="s">
        <v>96</v>
      </c>
      <c r="C11" s="10" t="s">
        <v>97</v>
      </c>
      <c r="D11" s="10" t="s">
        <v>98</v>
      </c>
      <c r="E11" s="10" t="s">
        <v>99</v>
      </c>
      <c r="F11" s="10" t="s">
        <v>100</v>
      </c>
      <c r="G11" s="22"/>
      <c r="H11" s="22"/>
      <c r="I11" s="27"/>
      <c r="J11" s="19"/>
      <c r="K11" s="10" t="s">
        <v>96</v>
      </c>
      <c r="L11" s="10" t="s">
        <v>97</v>
      </c>
      <c r="M11" s="10" t="s">
        <v>98</v>
      </c>
      <c r="N11" s="10" t="s">
        <v>99</v>
      </c>
      <c r="O11" s="10" t="s">
        <v>100</v>
      </c>
      <c r="P11" s="22"/>
      <c r="Q11" s="22"/>
      <c r="R11" s="27"/>
      <c r="S11" s="19"/>
      <c r="T11" s="10" t="s">
        <v>96</v>
      </c>
      <c r="U11" s="10" t="s">
        <v>97</v>
      </c>
      <c r="V11" s="10" t="s">
        <v>98</v>
      </c>
      <c r="W11" s="10" t="s">
        <v>99</v>
      </c>
      <c r="X11" s="10" t="s">
        <v>100</v>
      </c>
      <c r="Y11" s="22"/>
      <c r="Z11" s="22"/>
      <c r="AA11" s="27"/>
    </row>
    <row r="12" spans="1:27" x14ac:dyDescent="0.2">
      <c r="A12" s="20" t="s">
        <v>92</v>
      </c>
      <c r="B12" s="8">
        <v>1</v>
      </c>
      <c r="C12" s="8">
        <v>31.396089377029313</v>
      </c>
      <c r="D12" s="8">
        <v>31.396089377029313</v>
      </c>
      <c r="E12" s="8">
        <v>156.10571116558717</v>
      </c>
      <c r="F12" s="8">
        <v>2.8132156030043653E-23</v>
      </c>
      <c r="G12" s="22"/>
      <c r="H12" s="22"/>
      <c r="I12" s="27"/>
      <c r="J12" s="20" t="s">
        <v>92</v>
      </c>
      <c r="K12" s="8">
        <v>1</v>
      </c>
      <c r="L12" s="8">
        <v>16.577880727185523</v>
      </c>
      <c r="M12" s="8">
        <v>16.577880727185523</v>
      </c>
      <c r="N12" s="8">
        <v>42.307423566140187</v>
      </c>
      <c r="O12" s="8">
        <v>2.0105824892016107E-9</v>
      </c>
      <c r="P12" s="22"/>
      <c r="Q12" s="22"/>
      <c r="R12" s="27"/>
      <c r="S12" s="20" t="s">
        <v>92</v>
      </c>
      <c r="T12" s="8">
        <v>1</v>
      </c>
      <c r="U12" s="8">
        <v>40.84871707187996</v>
      </c>
      <c r="V12" s="8">
        <v>40.84871707187996</v>
      </c>
      <c r="W12" s="8">
        <v>37.925060263707707</v>
      </c>
      <c r="X12" s="8">
        <v>1.0682004145488639E-8</v>
      </c>
      <c r="Y12" s="22"/>
      <c r="Z12" s="22"/>
      <c r="AA12" s="27"/>
    </row>
    <row r="13" spans="1:27" x14ac:dyDescent="0.2">
      <c r="A13" s="20" t="s">
        <v>93</v>
      </c>
      <c r="B13" s="8">
        <v>117</v>
      </c>
      <c r="C13" s="8">
        <v>23.531121505323902</v>
      </c>
      <c r="D13" s="8">
        <v>0.20112069662670001</v>
      </c>
      <c r="E13" s="8"/>
      <c r="F13" s="8"/>
      <c r="G13" s="22"/>
      <c r="H13" s="32">
        <f>SQRT(D13)</f>
        <v>0.44846482206155258</v>
      </c>
      <c r="I13" s="27"/>
      <c r="J13" s="20" t="s">
        <v>93</v>
      </c>
      <c r="K13" s="8">
        <v>117</v>
      </c>
      <c r="L13" s="8">
        <v>45.845666826023219</v>
      </c>
      <c r="M13" s="8">
        <v>0.39184330620532665</v>
      </c>
      <c r="N13" s="8"/>
      <c r="O13" s="8"/>
      <c r="P13" s="22"/>
      <c r="Q13" s="32">
        <f>SQRT(M13)</f>
        <v>0.62597388620079564</v>
      </c>
      <c r="R13" s="27"/>
      <c r="S13" s="20" t="s">
        <v>93</v>
      </c>
      <c r="T13" s="8">
        <v>117</v>
      </c>
      <c r="U13" s="8">
        <v>126.01957292032294</v>
      </c>
      <c r="V13" s="8">
        <v>1.0770903668403671</v>
      </c>
      <c r="W13" s="8"/>
      <c r="X13" s="8"/>
      <c r="Y13" s="22"/>
      <c r="Z13" s="32">
        <f>SQRT(V13)</f>
        <v>1.0378296424945508</v>
      </c>
      <c r="AA13" s="27"/>
    </row>
    <row r="14" spans="1:27" ht="17" thickBot="1" x14ac:dyDescent="0.25">
      <c r="A14" s="21" t="s">
        <v>94</v>
      </c>
      <c r="B14" s="9">
        <v>118</v>
      </c>
      <c r="C14" s="9">
        <v>54.927210882353215</v>
      </c>
      <c r="D14" s="9"/>
      <c r="E14" s="9"/>
      <c r="F14" s="9"/>
      <c r="G14" s="22"/>
      <c r="H14" s="22"/>
      <c r="I14" s="27"/>
      <c r="J14" s="21" t="s">
        <v>94</v>
      </c>
      <c r="K14" s="9">
        <v>118</v>
      </c>
      <c r="L14" s="9">
        <v>62.423547553208742</v>
      </c>
      <c r="M14" s="9"/>
      <c r="N14" s="9"/>
      <c r="O14" s="9"/>
      <c r="P14" s="22"/>
      <c r="Q14" s="22"/>
      <c r="R14" s="27"/>
      <c r="S14" s="21" t="s">
        <v>94</v>
      </c>
      <c r="T14" s="9">
        <v>118</v>
      </c>
      <c r="U14" s="9">
        <v>166.8682899922029</v>
      </c>
      <c r="V14" s="9"/>
      <c r="W14" s="9"/>
      <c r="X14" s="9"/>
      <c r="Y14" s="22"/>
      <c r="Z14" s="22"/>
      <c r="AA14" s="27"/>
    </row>
    <row r="15" spans="1:27" ht="17" thickBot="1" x14ac:dyDescent="0.25">
      <c r="A15" s="14"/>
      <c r="B15" s="22"/>
      <c r="C15" s="22"/>
      <c r="D15" s="22"/>
      <c r="E15" s="22"/>
      <c r="F15" s="22"/>
      <c r="G15" s="22"/>
      <c r="H15" s="22"/>
      <c r="I15" s="27"/>
      <c r="J15" s="14"/>
      <c r="K15" s="22"/>
      <c r="L15" s="22"/>
      <c r="M15" s="22"/>
      <c r="N15" s="22"/>
      <c r="O15" s="22"/>
      <c r="P15" s="22"/>
      <c r="Q15" s="22"/>
      <c r="R15" s="27"/>
      <c r="S15" s="14"/>
      <c r="T15" s="22"/>
      <c r="U15" s="22"/>
      <c r="V15" s="22"/>
      <c r="W15" s="22"/>
      <c r="X15" s="22"/>
      <c r="Y15" s="22"/>
      <c r="Z15" s="22"/>
      <c r="AA15" s="27"/>
    </row>
    <row r="16" spans="1:27" x14ac:dyDescent="0.2">
      <c r="A16" s="19"/>
      <c r="B16" s="10" t="s">
        <v>101</v>
      </c>
      <c r="C16" s="10" t="s">
        <v>89</v>
      </c>
      <c r="D16" s="10" t="s">
        <v>102</v>
      </c>
      <c r="E16" s="10" t="s">
        <v>103</v>
      </c>
      <c r="F16" s="10" t="s">
        <v>104</v>
      </c>
      <c r="G16" s="10" t="s">
        <v>105</v>
      </c>
      <c r="H16" s="10" t="s">
        <v>106</v>
      </c>
      <c r="I16" s="29" t="s">
        <v>107</v>
      </c>
      <c r="J16" s="19"/>
      <c r="K16" s="10" t="s">
        <v>101</v>
      </c>
      <c r="L16" s="10" t="s">
        <v>89</v>
      </c>
      <c r="M16" s="10" t="s">
        <v>102</v>
      </c>
      <c r="N16" s="10" t="s">
        <v>103</v>
      </c>
      <c r="O16" s="10" t="s">
        <v>104</v>
      </c>
      <c r="P16" s="10" t="s">
        <v>105</v>
      </c>
      <c r="Q16" s="10" t="s">
        <v>106</v>
      </c>
      <c r="R16" s="29" t="s">
        <v>107</v>
      </c>
      <c r="S16" s="19"/>
      <c r="T16" s="10" t="s">
        <v>101</v>
      </c>
      <c r="U16" s="10" t="s">
        <v>89</v>
      </c>
      <c r="V16" s="10" t="s">
        <v>102</v>
      </c>
      <c r="W16" s="10" t="s">
        <v>103</v>
      </c>
      <c r="X16" s="10" t="s">
        <v>104</v>
      </c>
      <c r="Y16" s="10" t="s">
        <v>105</v>
      </c>
      <c r="Z16" s="10" t="s">
        <v>106</v>
      </c>
      <c r="AA16" s="29" t="s">
        <v>107</v>
      </c>
    </row>
    <row r="17" spans="1:27" x14ac:dyDescent="0.2">
      <c r="A17" s="20" t="s">
        <v>95</v>
      </c>
      <c r="B17" s="33">
        <v>7.6098899240517257E-2</v>
      </c>
      <c r="C17" s="8">
        <v>4.226576083552868E-2</v>
      </c>
      <c r="D17" s="8">
        <v>1.8004857297292132</v>
      </c>
      <c r="E17" s="8">
        <v>7.4360352820156933E-2</v>
      </c>
      <c r="F17" s="8">
        <v>-7.6062253127325702E-3</v>
      </c>
      <c r="G17" s="8">
        <v>0.15980402379376707</v>
      </c>
      <c r="H17" s="8">
        <v>-7.6062253127325702E-3</v>
      </c>
      <c r="I17" s="30">
        <v>0.15980402379376707</v>
      </c>
      <c r="J17" s="20" t="s">
        <v>95</v>
      </c>
      <c r="K17" s="8">
        <v>0.13849955726998134</v>
      </c>
      <c r="L17" s="8">
        <v>5.8995179246897476E-2</v>
      </c>
      <c r="M17" s="8">
        <v>2.3476419435960092</v>
      </c>
      <c r="N17" s="8">
        <v>2.0572230541213959E-2</v>
      </c>
      <c r="O17" s="8">
        <v>2.1662696196566258E-2</v>
      </c>
      <c r="P17" s="8">
        <v>0.25533641834339643</v>
      </c>
      <c r="Q17" s="8">
        <v>2.1662696196566258E-2</v>
      </c>
      <c r="R17" s="30">
        <v>0.25533641834339643</v>
      </c>
      <c r="S17" s="20" t="s">
        <v>95</v>
      </c>
      <c r="T17" s="8">
        <v>2.1238075191163719E-2</v>
      </c>
      <c r="U17" s="8">
        <v>9.7810702868633081E-2</v>
      </c>
      <c r="V17" s="8">
        <v>0.21713447064875921</v>
      </c>
      <c r="W17" s="8">
        <v>0.82848173897812627</v>
      </c>
      <c r="X17" s="8">
        <v>-0.17247089643055658</v>
      </c>
      <c r="Y17" s="8">
        <v>0.21494704681288401</v>
      </c>
      <c r="Z17" s="8">
        <v>-0.17247089643055658</v>
      </c>
      <c r="AA17" s="30">
        <v>0.21494704681288401</v>
      </c>
    </row>
    <row r="18" spans="1:27" ht="17" thickBot="1" x14ac:dyDescent="0.25">
      <c r="A18" s="21" t="s">
        <v>67</v>
      </c>
      <c r="B18" s="34">
        <v>1.094962756436229</v>
      </c>
      <c r="C18" s="9">
        <v>8.7637494218955683E-2</v>
      </c>
      <c r="D18" s="9">
        <v>12.494227113574778</v>
      </c>
      <c r="E18" s="9">
        <v>2.8132156030043853E-23</v>
      </c>
      <c r="F18" s="9">
        <v>0.92140129145566751</v>
      </c>
      <c r="G18" s="9">
        <v>1.2685242214167904</v>
      </c>
      <c r="H18" s="9">
        <v>0.92140129145566751</v>
      </c>
      <c r="I18" s="31">
        <v>1.2685242214167904</v>
      </c>
      <c r="J18" s="21" t="s">
        <v>67</v>
      </c>
      <c r="K18" s="9">
        <v>0.79565734178748948</v>
      </c>
      <c r="L18" s="9">
        <v>0.12232572129282859</v>
      </c>
      <c r="M18" s="9">
        <v>6.5044156975196623</v>
      </c>
      <c r="N18" s="9">
        <v>2.0105824892016107E-9</v>
      </c>
      <c r="O18" s="9">
        <v>0.55339766079589181</v>
      </c>
      <c r="P18" s="9">
        <v>1.0379170227790873</v>
      </c>
      <c r="Q18" s="9">
        <v>0.55339766079589181</v>
      </c>
      <c r="R18" s="31">
        <v>1.0379170227790873</v>
      </c>
      <c r="S18" s="21" t="s">
        <v>67</v>
      </c>
      <c r="T18" s="9">
        <v>1.2489664712183419</v>
      </c>
      <c r="U18" s="9">
        <v>0.20280919443419265</v>
      </c>
      <c r="V18" s="9">
        <v>6.158332587941941</v>
      </c>
      <c r="W18" s="9">
        <v>1.0682004145488639E-8</v>
      </c>
      <c r="X18" s="9">
        <v>0.84731348911022963</v>
      </c>
      <c r="Y18" s="9">
        <v>1.6506194533264542</v>
      </c>
      <c r="Z18" s="9">
        <v>0.84731348911022963</v>
      </c>
      <c r="AA18" s="31">
        <v>1.6506194533264542</v>
      </c>
    </row>
    <row r="19" spans="1:27" ht="22" thickBot="1" x14ac:dyDescent="0.25">
      <c r="A19" s="37" t="s">
        <v>13</v>
      </c>
      <c r="B19" s="38"/>
      <c r="C19" s="38"/>
      <c r="D19" s="38"/>
      <c r="E19" s="38"/>
      <c r="F19" s="38"/>
      <c r="G19" s="38"/>
      <c r="H19" s="38"/>
      <c r="I19" s="39"/>
      <c r="J19" s="37" t="s">
        <v>16</v>
      </c>
      <c r="K19" s="38"/>
      <c r="L19" s="38"/>
      <c r="M19" s="38"/>
      <c r="N19" s="38"/>
      <c r="O19" s="38"/>
      <c r="P19" s="38"/>
      <c r="Q19" s="38"/>
      <c r="R19" s="39"/>
      <c r="S19" s="37" t="s">
        <v>19</v>
      </c>
      <c r="T19" s="38"/>
      <c r="U19" s="38"/>
      <c r="V19" s="38"/>
      <c r="W19" s="38"/>
      <c r="X19" s="38"/>
      <c r="Y19" s="38"/>
      <c r="Z19" s="38"/>
      <c r="AA19" s="39"/>
    </row>
    <row r="20" spans="1:27" ht="17" thickBot="1" x14ac:dyDescent="0.25">
      <c r="A20" s="14"/>
      <c r="B20" s="22"/>
      <c r="C20" s="22"/>
      <c r="D20" s="22"/>
      <c r="E20" s="22"/>
      <c r="F20" s="22"/>
      <c r="G20" s="22"/>
      <c r="H20" s="22"/>
      <c r="I20" s="27"/>
      <c r="J20" s="14"/>
      <c r="K20" s="22"/>
      <c r="L20" s="22"/>
      <c r="M20" s="22"/>
      <c r="N20" s="22"/>
      <c r="O20" s="22"/>
      <c r="P20" s="22"/>
      <c r="Q20" s="22"/>
      <c r="R20" s="27"/>
      <c r="S20" s="14"/>
      <c r="T20" s="22"/>
      <c r="U20" s="22"/>
      <c r="V20" s="22"/>
      <c r="W20" s="22"/>
      <c r="X20" s="22"/>
      <c r="Y20" s="22"/>
      <c r="Z20" s="22"/>
      <c r="AA20" s="27"/>
    </row>
    <row r="21" spans="1:27" x14ac:dyDescent="0.2">
      <c r="A21" s="28" t="s">
        <v>85</v>
      </c>
      <c r="B21" s="26"/>
      <c r="C21" s="22"/>
      <c r="D21" s="22"/>
      <c r="E21" s="22"/>
      <c r="F21" s="22"/>
      <c r="G21" s="22"/>
      <c r="H21" s="22"/>
      <c r="I21" s="27"/>
      <c r="J21" s="28" t="s">
        <v>85</v>
      </c>
      <c r="K21" s="26"/>
      <c r="L21" s="22"/>
      <c r="M21" s="22"/>
      <c r="N21" s="22"/>
      <c r="O21" s="22"/>
      <c r="P21" s="22"/>
      <c r="Q21" s="22"/>
      <c r="R21" s="27"/>
      <c r="S21" s="28" t="s">
        <v>85</v>
      </c>
      <c r="T21" s="26"/>
      <c r="U21" s="22"/>
      <c r="V21" s="22"/>
      <c r="W21" s="22"/>
      <c r="X21" s="22"/>
      <c r="Y21" s="22"/>
      <c r="Z21" s="22"/>
      <c r="AA21" s="27"/>
    </row>
    <row r="22" spans="1:27" x14ac:dyDescent="0.2">
      <c r="A22" s="20" t="s">
        <v>86</v>
      </c>
      <c r="B22" s="8">
        <v>0.91330843237235748</v>
      </c>
      <c r="C22" s="22"/>
      <c r="D22" s="22"/>
      <c r="E22" s="22"/>
      <c r="F22" s="22"/>
      <c r="G22" s="22"/>
      <c r="H22" s="22"/>
      <c r="I22" s="27"/>
      <c r="J22" s="20" t="s">
        <v>86</v>
      </c>
      <c r="K22" s="8">
        <v>0.68217282587351014</v>
      </c>
      <c r="L22" s="22"/>
      <c r="M22" s="22"/>
      <c r="N22" s="22"/>
      <c r="O22" s="22"/>
      <c r="P22" s="22"/>
      <c r="Q22" s="22"/>
      <c r="R22" s="27"/>
      <c r="S22" s="20" t="s">
        <v>86</v>
      </c>
      <c r="T22" s="8">
        <v>0.58756671492248069</v>
      </c>
      <c r="U22" s="22"/>
      <c r="V22" s="22"/>
      <c r="W22" s="22"/>
      <c r="X22" s="22"/>
      <c r="Y22" s="22"/>
      <c r="Z22" s="22"/>
      <c r="AA22" s="27"/>
    </row>
    <row r="23" spans="1:27" x14ac:dyDescent="0.2">
      <c r="A23" s="20" t="s">
        <v>87</v>
      </c>
      <c r="B23" s="8">
        <v>0.83413229264245303</v>
      </c>
      <c r="C23" s="22"/>
      <c r="D23" s="22"/>
      <c r="E23" s="22"/>
      <c r="F23" s="22"/>
      <c r="G23" s="22"/>
      <c r="H23" s="22"/>
      <c r="I23" s="27"/>
      <c r="J23" s="20" t="s">
        <v>87</v>
      </c>
      <c r="K23" s="8">
        <v>0.46535976436025045</v>
      </c>
      <c r="L23" s="22"/>
      <c r="M23" s="22"/>
      <c r="N23" s="22"/>
      <c r="O23" s="22"/>
      <c r="P23" s="22"/>
      <c r="Q23" s="22"/>
      <c r="R23" s="27"/>
      <c r="S23" s="20" t="s">
        <v>87</v>
      </c>
      <c r="T23" s="8">
        <v>0.34523464448479568</v>
      </c>
      <c r="U23" s="22"/>
      <c r="V23" s="22"/>
      <c r="W23" s="22"/>
      <c r="X23" s="22"/>
      <c r="Y23" s="22"/>
      <c r="Z23" s="22"/>
      <c r="AA23" s="27"/>
    </row>
    <row r="24" spans="1:27" x14ac:dyDescent="0.2">
      <c r="A24" s="20" t="s">
        <v>88</v>
      </c>
      <c r="B24" s="8">
        <v>0.8327146199299954</v>
      </c>
      <c r="C24" s="22"/>
      <c r="D24" s="22"/>
      <c r="E24" s="22"/>
      <c r="F24" s="22"/>
      <c r="G24" s="22"/>
      <c r="H24" s="22"/>
      <c r="I24" s="27"/>
      <c r="J24" s="20" t="s">
        <v>88</v>
      </c>
      <c r="K24" s="8">
        <v>0.46079018969666286</v>
      </c>
      <c r="L24" s="22"/>
      <c r="M24" s="22"/>
      <c r="N24" s="22"/>
      <c r="O24" s="22"/>
      <c r="P24" s="22"/>
      <c r="Q24" s="22"/>
      <c r="R24" s="27"/>
      <c r="S24" s="20" t="s">
        <v>88</v>
      </c>
      <c r="T24" s="8">
        <v>0.33963835939492215</v>
      </c>
      <c r="U24" s="22"/>
      <c r="V24" s="22"/>
      <c r="W24" s="22"/>
      <c r="X24" s="22"/>
      <c r="Y24" s="22"/>
      <c r="Z24" s="22"/>
      <c r="AA24" s="27"/>
    </row>
    <row r="25" spans="1:27" x14ac:dyDescent="0.2">
      <c r="A25" s="20" t="s">
        <v>89</v>
      </c>
      <c r="B25" s="8">
        <v>0.22461323543262748</v>
      </c>
      <c r="C25" s="22"/>
      <c r="D25" s="22"/>
      <c r="E25" s="22"/>
      <c r="F25" s="22"/>
      <c r="G25" s="22"/>
      <c r="H25" s="22"/>
      <c r="I25" s="27"/>
      <c r="J25" s="20" t="s">
        <v>89</v>
      </c>
      <c r="K25" s="8">
        <v>0.83165528104732755</v>
      </c>
      <c r="L25" s="22"/>
      <c r="M25" s="22"/>
      <c r="N25" s="22"/>
      <c r="O25" s="22"/>
      <c r="P25" s="22"/>
      <c r="Q25" s="22"/>
      <c r="R25" s="27"/>
      <c r="S25" s="20" t="s">
        <v>89</v>
      </c>
      <c r="T25" s="8">
        <v>0.56624652595609404</v>
      </c>
      <c r="U25" s="22"/>
      <c r="V25" s="22"/>
      <c r="W25" s="22"/>
      <c r="X25" s="22"/>
      <c r="Y25" s="22"/>
      <c r="Z25" s="22"/>
      <c r="AA25" s="27"/>
    </row>
    <row r="26" spans="1:27" ht="17" thickBot="1" x14ac:dyDescent="0.25">
      <c r="A26" s="21" t="s">
        <v>90</v>
      </c>
      <c r="B26" s="9">
        <v>119</v>
      </c>
      <c r="C26" s="22"/>
      <c r="D26" s="22"/>
      <c r="E26" s="22"/>
      <c r="F26" s="22"/>
      <c r="G26" s="22"/>
      <c r="H26" s="22"/>
      <c r="I26" s="27"/>
      <c r="J26" s="21" t="s">
        <v>90</v>
      </c>
      <c r="K26" s="9">
        <v>119</v>
      </c>
      <c r="L26" s="22"/>
      <c r="M26" s="22"/>
      <c r="N26" s="22"/>
      <c r="O26" s="22"/>
      <c r="P26" s="22"/>
      <c r="Q26" s="22"/>
      <c r="R26" s="27"/>
      <c r="S26" s="21" t="s">
        <v>90</v>
      </c>
      <c r="T26" s="9">
        <v>119</v>
      </c>
      <c r="U26" s="22"/>
      <c r="V26" s="22"/>
      <c r="W26" s="22"/>
      <c r="X26" s="22"/>
      <c r="Y26" s="22"/>
      <c r="Z26" s="22"/>
      <c r="AA26" s="27"/>
    </row>
    <row r="27" spans="1:27" x14ac:dyDescent="0.2">
      <c r="A27" s="14"/>
      <c r="B27" s="22"/>
      <c r="C27" s="22"/>
      <c r="D27" s="22"/>
      <c r="E27" s="22"/>
      <c r="F27" s="22"/>
      <c r="G27" s="22"/>
      <c r="H27" s="22"/>
      <c r="I27" s="27"/>
      <c r="J27" s="14"/>
      <c r="K27" s="22"/>
      <c r="L27" s="22"/>
      <c r="M27" s="22"/>
      <c r="N27" s="22"/>
      <c r="O27" s="22"/>
      <c r="P27" s="22"/>
      <c r="Q27" s="22"/>
      <c r="R27" s="27"/>
      <c r="S27" s="14"/>
      <c r="T27" s="22"/>
      <c r="U27" s="22"/>
      <c r="V27" s="22"/>
      <c r="W27" s="22"/>
      <c r="X27" s="22"/>
      <c r="Y27" s="22"/>
      <c r="Z27" s="22"/>
      <c r="AA27" s="27"/>
    </row>
    <row r="28" spans="1:27" ht="17" thickBot="1" x14ac:dyDescent="0.25">
      <c r="A28" s="14" t="s">
        <v>91</v>
      </c>
      <c r="B28" s="22"/>
      <c r="C28" s="22"/>
      <c r="D28" s="22"/>
      <c r="E28" s="22"/>
      <c r="F28" s="22"/>
      <c r="G28" s="22"/>
      <c r="H28" s="22"/>
      <c r="I28" s="27"/>
      <c r="J28" s="14" t="s">
        <v>91</v>
      </c>
      <c r="K28" s="22"/>
      <c r="L28" s="22"/>
      <c r="M28" s="22"/>
      <c r="N28" s="22"/>
      <c r="O28" s="22"/>
      <c r="P28" s="22"/>
      <c r="Q28" s="22"/>
      <c r="R28" s="27"/>
      <c r="S28" s="14" t="s">
        <v>91</v>
      </c>
      <c r="T28" s="22"/>
      <c r="U28" s="22"/>
      <c r="V28" s="22"/>
      <c r="W28" s="22"/>
      <c r="X28" s="22"/>
      <c r="Y28" s="22"/>
      <c r="Z28" s="22"/>
      <c r="AA28" s="27"/>
    </row>
    <row r="29" spans="1:27" x14ac:dyDescent="0.2">
      <c r="A29" s="19"/>
      <c r="B29" s="10" t="s">
        <v>96</v>
      </c>
      <c r="C29" s="10" t="s">
        <v>97</v>
      </c>
      <c r="D29" s="10" t="s">
        <v>98</v>
      </c>
      <c r="E29" s="10" t="s">
        <v>99</v>
      </c>
      <c r="F29" s="10" t="s">
        <v>100</v>
      </c>
      <c r="G29" s="22"/>
      <c r="H29" s="22"/>
      <c r="I29" s="27"/>
      <c r="J29" s="19"/>
      <c r="K29" s="10" t="s">
        <v>96</v>
      </c>
      <c r="L29" s="10" t="s">
        <v>97</v>
      </c>
      <c r="M29" s="10" t="s">
        <v>98</v>
      </c>
      <c r="N29" s="10" t="s">
        <v>99</v>
      </c>
      <c r="O29" s="10" t="s">
        <v>100</v>
      </c>
      <c r="P29" s="22"/>
      <c r="Q29" s="22"/>
      <c r="R29" s="27"/>
      <c r="S29" s="19"/>
      <c r="T29" s="10" t="s">
        <v>96</v>
      </c>
      <c r="U29" s="10" t="s">
        <v>97</v>
      </c>
      <c r="V29" s="10" t="s">
        <v>98</v>
      </c>
      <c r="W29" s="10" t="s">
        <v>99</v>
      </c>
      <c r="X29" s="10" t="s">
        <v>100</v>
      </c>
      <c r="Y29" s="22"/>
      <c r="Z29" s="22"/>
      <c r="AA29" s="27"/>
    </row>
    <row r="30" spans="1:27" x14ac:dyDescent="0.2">
      <c r="A30" s="20" t="s">
        <v>92</v>
      </c>
      <c r="B30" s="8">
        <v>1</v>
      </c>
      <c r="C30" s="8">
        <v>29.684493433179398</v>
      </c>
      <c r="D30" s="8">
        <v>29.684493433179398</v>
      </c>
      <c r="E30" s="8">
        <v>588.38142634233782</v>
      </c>
      <c r="F30" s="8">
        <v>1.8266135639339475E-47</v>
      </c>
      <c r="G30" s="22"/>
      <c r="H30" s="22"/>
      <c r="I30" s="27"/>
      <c r="J30" s="20" t="s">
        <v>92</v>
      </c>
      <c r="K30" s="8">
        <v>1</v>
      </c>
      <c r="L30" s="8">
        <v>70.436821896450695</v>
      </c>
      <c r="M30" s="8">
        <v>70.436821896450695</v>
      </c>
      <c r="N30" s="8">
        <v>101.83874837814631</v>
      </c>
      <c r="O30" s="8">
        <v>1.3198747298727874E-17</v>
      </c>
      <c r="P30" s="22"/>
      <c r="Q30" s="22"/>
      <c r="R30" s="27"/>
      <c r="S30" s="20" t="s">
        <v>92</v>
      </c>
      <c r="T30" s="8">
        <v>1</v>
      </c>
      <c r="U30" s="8">
        <v>19.779970587817111</v>
      </c>
      <c r="V30" s="8">
        <v>19.779970587817111</v>
      </c>
      <c r="W30" s="8">
        <v>61.68996735164486</v>
      </c>
      <c r="X30" s="8">
        <v>2.1488451462405034E-12</v>
      </c>
      <c r="Y30" s="22"/>
      <c r="Z30" s="22"/>
      <c r="AA30" s="27"/>
    </row>
    <row r="31" spans="1:27" x14ac:dyDescent="0.2">
      <c r="A31" s="20" t="s">
        <v>93</v>
      </c>
      <c r="B31" s="8">
        <v>117</v>
      </c>
      <c r="C31" s="8">
        <v>5.9027793471870149</v>
      </c>
      <c r="D31" s="8">
        <v>5.0451105531512948E-2</v>
      </c>
      <c r="E31" s="8"/>
      <c r="F31" s="8"/>
      <c r="G31" s="22"/>
      <c r="H31" s="32">
        <f>SQRT(D31)</f>
        <v>0.22461323543262748</v>
      </c>
      <c r="I31" s="27"/>
      <c r="J31" s="20" t="s">
        <v>93</v>
      </c>
      <c r="K31" s="8">
        <v>117</v>
      </c>
      <c r="L31" s="8">
        <v>80.92310925978741</v>
      </c>
      <c r="M31" s="8">
        <v>0.69165050649390947</v>
      </c>
      <c r="N31" s="8"/>
      <c r="O31" s="8"/>
      <c r="P31" s="22"/>
      <c r="Q31" s="32">
        <f>SQRT(M31)</f>
        <v>0.83165528104732755</v>
      </c>
      <c r="R31" s="27"/>
      <c r="S31" s="20" t="s">
        <v>93</v>
      </c>
      <c r="T31" s="8">
        <v>117</v>
      </c>
      <c r="U31" s="8">
        <v>37.514309994409423</v>
      </c>
      <c r="V31" s="8">
        <v>0.32063512815734552</v>
      </c>
      <c r="W31" s="8"/>
      <c r="X31" s="8"/>
      <c r="Y31" s="22"/>
      <c r="Z31" s="32">
        <f>SQRT(V31)</f>
        <v>0.56624652595609404</v>
      </c>
      <c r="AA31" s="27"/>
    </row>
    <row r="32" spans="1:27" ht="17" thickBot="1" x14ac:dyDescent="0.25">
      <c r="A32" s="21" t="s">
        <v>94</v>
      </c>
      <c r="B32" s="9">
        <v>118</v>
      </c>
      <c r="C32" s="9">
        <v>35.587272780366412</v>
      </c>
      <c r="D32" s="9"/>
      <c r="E32" s="9"/>
      <c r="F32" s="9"/>
      <c r="G32" s="22"/>
      <c r="H32" s="22"/>
      <c r="I32" s="27"/>
      <c r="J32" s="21" t="s">
        <v>94</v>
      </c>
      <c r="K32" s="9">
        <v>118</v>
      </c>
      <c r="L32" s="9">
        <v>151.3599311562381</v>
      </c>
      <c r="M32" s="9"/>
      <c r="N32" s="9"/>
      <c r="O32" s="9"/>
      <c r="P32" s="22"/>
      <c r="Q32" s="22"/>
      <c r="R32" s="27"/>
      <c r="S32" s="21" t="s">
        <v>94</v>
      </c>
      <c r="T32" s="9">
        <v>118</v>
      </c>
      <c r="U32" s="9">
        <v>57.294280582226534</v>
      </c>
      <c r="V32" s="9"/>
      <c r="W32" s="9"/>
      <c r="X32" s="9"/>
      <c r="Y32" s="22"/>
      <c r="Z32" s="22"/>
      <c r="AA32" s="27"/>
    </row>
    <row r="33" spans="1:27" ht="17" thickBot="1" x14ac:dyDescent="0.25">
      <c r="A33" s="14"/>
      <c r="B33" s="22"/>
      <c r="C33" s="22"/>
      <c r="D33" s="22"/>
      <c r="E33" s="22"/>
      <c r="F33" s="22"/>
      <c r="G33" s="22"/>
      <c r="H33" s="22"/>
      <c r="I33" s="27"/>
      <c r="J33" s="14"/>
      <c r="K33" s="22"/>
      <c r="L33" s="22"/>
      <c r="M33" s="22"/>
      <c r="N33" s="22"/>
      <c r="O33" s="22"/>
      <c r="P33" s="22"/>
      <c r="Q33" s="22"/>
      <c r="R33" s="27"/>
      <c r="S33" s="14"/>
      <c r="T33" s="22"/>
      <c r="U33" s="22"/>
      <c r="V33" s="22"/>
      <c r="W33" s="22"/>
      <c r="X33" s="22"/>
      <c r="Y33" s="22"/>
      <c r="Z33" s="22"/>
      <c r="AA33" s="27"/>
    </row>
    <row r="34" spans="1:27" x14ac:dyDescent="0.2">
      <c r="A34" s="19"/>
      <c r="B34" s="10" t="s">
        <v>101</v>
      </c>
      <c r="C34" s="10" t="s">
        <v>89</v>
      </c>
      <c r="D34" s="10" t="s">
        <v>102</v>
      </c>
      <c r="E34" s="10" t="s">
        <v>103</v>
      </c>
      <c r="F34" s="10" t="s">
        <v>104</v>
      </c>
      <c r="G34" s="10" t="s">
        <v>105</v>
      </c>
      <c r="H34" s="10" t="s">
        <v>106</v>
      </c>
      <c r="I34" s="29" t="s">
        <v>107</v>
      </c>
      <c r="J34" s="19"/>
      <c r="K34" s="10" t="s">
        <v>101</v>
      </c>
      <c r="L34" s="10" t="s">
        <v>89</v>
      </c>
      <c r="M34" s="10" t="s">
        <v>102</v>
      </c>
      <c r="N34" s="10" t="s">
        <v>103</v>
      </c>
      <c r="O34" s="10" t="s">
        <v>104</v>
      </c>
      <c r="P34" s="10" t="s">
        <v>105</v>
      </c>
      <c r="Q34" s="10" t="s">
        <v>106</v>
      </c>
      <c r="R34" s="29" t="s">
        <v>107</v>
      </c>
      <c r="S34" s="19"/>
      <c r="T34" s="10" t="s">
        <v>101</v>
      </c>
      <c r="U34" s="10" t="s">
        <v>89</v>
      </c>
      <c r="V34" s="10" t="s">
        <v>102</v>
      </c>
      <c r="W34" s="10" t="s">
        <v>103</v>
      </c>
      <c r="X34" s="10" t="s">
        <v>104</v>
      </c>
      <c r="Y34" s="10" t="s">
        <v>105</v>
      </c>
      <c r="Z34" s="10" t="s">
        <v>106</v>
      </c>
      <c r="AA34" s="29" t="s">
        <v>107</v>
      </c>
    </row>
    <row r="35" spans="1:27" x14ac:dyDescent="0.2">
      <c r="A35" s="20" t="s">
        <v>95</v>
      </c>
      <c r="B35" s="8">
        <v>7.2485591616806358E-2</v>
      </c>
      <c r="C35" s="8">
        <v>2.1168771377985E-2</v>
      </c>
      <c r="D35" s="8">
        <v>3.4241756558526388</v>
      </c>
      <c r="E35" s="8">
        <v>8.5092598087462652E-4</v>
      </c>
      <c r="F35" s="8">
        <v>3.0561949174198001E-2</v>
      </c>
      <c r="G35" s="8">
        <v>0.11440923405941472</v>
      </c>
      <c r="H35" s="8">
        <v>3.0561949174198001E-2</v>
      </c>
      <c r="I35" s="30">
        <v>0.11440923405941472</v>
      </c>
      <c r="J35" s="20" t="s">
        <v>95</v>
      </c>
      <c r="K35" s="8">
        <v>-4.3114631006557963E-2</v>
      </c>
      <c r="L35" s="8">
        <v>7.8379711132674459E-2</v>
      </c>
      <c r="M35" s="8">
        <v>-0.5500738696724361</v>
      </c>
      <c r="N35" s="8">
        <v>0.58331730638447321</v>
      </c>
      <c r="O35" s="8">
        <v>-0.19834154170476193</v>
      </c>
      <c r="P35" s="8">
        <v>0.112112279691646</v>
      </c>
      <c r="Q35" s="8">
        <v>-0.19834154170476193</v>
      </c>
      <c r="R35" s="30">
        <v>0.112112279691646</v>
      </c>
      <c r="S35" s="20" t="s">
        <v>95</v>
      </c>
      <c r="T35" s="8">
        <v>0.15186763347334692</v>
      </c>
      <c r="U35" s="8">
        <v>5.3366148385936119E-2</v>
      </c>
      <c r="V35" s="8">
        <v>2.8457671776322058</v>
      </c>
      <c r="W35" s="8">
        <v>5.2326980886531725E-3</v>
      </c>
      <c r="X35" s="8">
        <v>4.6178773051437541E-2</v>
      </c>
      <c r="Y35" s="8">
        <v>0.25755649389525631</v>
      </c>
      <c r="Z35" s="8">
        <v>4.6178773051437541E-2</v>
      </c>
      <c r="AA35" s="30">
        <v>0.25755649389525631</v>
      </c>
    </row>
    <row r="36" spans="1:27" ht="17" thickBot="1" x14ac:dyDescent="0.25">
      <c r="A36" s="21" t="s">
        <v>67</v>
      </c>
      <c r="B36" s="9">
        <v>1.0646978821756119</v>
      </c>
      <c r="C36" s="9">
        <v>4.3893166539216502E-2</v>
      </c>
      <c r="D36" s="9">
        <v>24.25657490954438</v>
      </c>
      <c r="E36" s="9">
        <v>1.8266135639339475E-47</v>
      </c>
      <c r="F36" s="9">
        <v>0.97776976590440989</v>
      </c>
      <c r="G36" s="9">
        <v>1.151625998446814</v>
      </c>
      <c r="H36" s="9">
        <v>0.97776976590440989</v>
      </c>
      <c r="I36" s="31">
        <v>1.151625998446814</v>
      </c>
      <c r="J36" s="21" t="s">
        <v>67</v>
      </c>
      <c r="K36" s="9">
        <v>1.6400664530290257</v>
      </c>
      <c r="L36" s="9">
        <v>0.16251929092209969</v>
      </c>
      <c r="M36" s="9">
        <v>10.091518635871713</v>
      </c>
      <c r="N36" s="9">
        <v>1.3198747298728635E-17</v>
      </c>
      <c r="O36" s="9">
        <v>1.3182055135826238</v>
      </c>
      <c r="P36" s="9">
        <v>1.9619273924754275</v>
      </c>
      <c r="Q36" s="9">
        <v>1.3182055135826238</v>
      </c>
      <c r="R36" s="31">
        <v>1.9619273924754275</v>
      </c>
      <c r="S36" s="21" t="s">
        <v>67</v>
      </c>
      <c r="T36" s="9">
        <v>0.86910928546438548</v>
      </c>
      <c r="U36" s="9">
        <v>0.11065400050077928</v>
      </c>
      <c r="V36" s="9">
        <v>7.8542961079682314</v>
      </c>
      <c r="W36" s="9">
        <v>2.14884514624048E-12</v>
      </c>
      <c r="X36" s="9">
        <v>0.64996483588790499</v>
      </c>
      <c r="Y36" s="9">
        <v>1.0882537350408659</v>
      </c>
      <c r="Z36" s="9">
        <v>0.64996483588790499</v>
      </c>
      <c r="AA36" s="31">
        <v>1.0882537350408659</v>
      </c>
    </row>
    <row r="37" spans="1:27" ht="22" thickBot="1" x14ac:dyDescent="0.25">
      <c r="A37" s="37" t="s">
        <v>22</v>
      </c>
      <c r="B37" s="38"/>
      <c r="C37" s="38"/>
      <c r="D37" s="38"/>
      <c r="E37" s="38"/>
      <c r="F37" s="38"/>
      <c r="G37" s="38"/>
      <c r="H37" s="38"/>
      <c r="I37" s="39"/>
      <c r="J37" s="37" t="s">
        <v>25</v>
      </c>
      <c r="K37" s="38"/>
      <c r="L37" s="38"/>
      <c r="M37" s="38"/>
      <c r="N37" s="38"/>
      <c r="O37" s="38"/>
      <c r="P37" s="38"/>
      <c r="Q37" s="38"/>
      <c r="R37" s="39"/>
      <c r="S37" s="37" t="s">
        <v>28</v>
      </c>
      <c r="T37" s="38"/>
      <c r="U37" s="38"/>
      <c r="V37" s="38"/>
      <c r="W37" s="38"/>
      <c r="X37" s="38"/>
      <c r="Y37" s="38"/>
      <c r="Z37" s="38"/>
      <c r="AA37" s="39"/>
    </row>
    <row r="38" spans="1:27" ht="17" thickBot="1" x14ac:dyDescent="0.25">
      <c r="A38" s="14"/>
      <c r="B38" s="22"/>
      <c r="C38" s="22"/>
      <c r="D38" s="22"/>
      <c r="E38" s="22"/>
      <c r="F38" s="22"/>
      <c r="G38" s="22"/>
      <c r="H38" s="22"/>
      <c r="I38" s="27"/>
      <c r="J38" s="14"/>
      <c r="K38" s="22"/>
      <c r="L38" s="22"/>
      <c r="M38" s="22"/>
      <c r="N38" s="22"/>
      <c r="O38" s="22"/>
      <c r="P38" s="22"/>
      <c r="Q38" s="22"/>
      <c r="R38" s="27"/>
      <c r="S38" s="14"/>
      <c r="T38" s="22"/>
      <c r="U38" s="22"/>
      <c r="V38" s="22"/>
      <c r="W38" s="22"/>
      <c r="X38" s="22"/>
      <c r="Y38" s="22"/>
      <c r="Z38" s="22"/>
      <c r="AA38" s="27"/>
    </row>
    <row r="39" spans="1:27" x14ac:dyDescent="0.2">
      <c r="A39" s="28" t="s">
        <v>85</v>
      </c>
      <c r="B39" s="26"/>
      <c r="C39" s="22"/>
      <c r="D39" s="22"/>
      <c r="E39" s="22"/>
      <c r="F39" s="22"/>
      <c r="G39" s="22"/>
      <c r="H39" s="22"/>
      <c r="I39" s="27"/>
      <c r="J39" s="28" t="s">
        <v>85</v>
      </c>
      <c r="K39" s="26"/>
      <c r="L39" s="22"/>
      <c r="M39" s="22"/>
      <c r="N39" s="22"/>
      <c r="O39" s="22"/>
      <c r="P39" s="22"/>
      <c r="Q39" s="22"/>
      <c r="R39" s="27"/>
      <c r="S39" s="28" t="s">
        <v>85</v>
      </c>
      <c r="T39" s="26"/>
      <c r="U39" s="22"/>
      <c r="V39" s="22"/>
      <c r="W39" s="22"/>
      <c r="X39" s="22"/>
      <c r="Y39" s="22"/>
      <c r="Z39" s="22"/>
      <c r="AA39" s="27"/>
    </row>
    <row r="40" spans="1:27" x14ac:dyDescent="0.2">
      <c r="A40" s="20" t="s">
        <v>86</v>
      </c>
      <c r="B40" s="8">
        <v>0.70177082333336938</v>
      </c>
      <c r="C40" s="22"/>
      <c r="D40" s="22"/>
      <c r="E40" s="22"/>
      <c r="F40" s="22"/>
      <c r="G40" s="22"/>
      <c r="H40" s="22"/>
      <c r="I40" s="27"/>
      <c r="J40" s="20" t="s">
        <v>86</v>
      </c>
      <c r="K40" s="8">
        <v>0.66648926582531864</v>
      </c>
      <c r="L40" s="22"/>
      <c r="M40" s="22"/>
      <c r="N40" s="22"/>
      <c r="O40" s="22"/>
      <c r="P40" s="22"/>
      <c r="Q40" s="22"/>
      <c r="R40" s="27"/>
      <c r="S40" s="20" t="s">
        <v>86</v>
      </c>
      <c r="T40" s="8">
        <v>0.29452982763532121</v>
      </c>
      <c r="U40" s="22"/>
      <c r="V40" s="22"/>
      <c r="W40" s="22"/>
      <c r="X40" s="22"/>
      <c r="Y40" s="22"/>
      <c r="Z40" s="22"/>
      <c r="AA40" s="27"/>
    </row>
    <row r="41" spans="1:27" x14ac:dyDescent="0.2">
      <c r="A41" s="20" t="s">
        <v>87</v>
      </c>
      <c r="B41" s="8">
        <v>0.4924822884819951</v>
      </c>
      <c r="C41" s="22"/>
      <c r="D41" s="22"/>
      <c r="E41" s="22"/>
      <c r="F41" s="22"/>
      <c r="G41" s="22"/>
      <c r="H41" s="22"/>
      <c r="I41" s="27"/>
      <c r="J41" s="20" t="s">
        <v>87</v>
      </c>
      <c r="K41" s="8">
        <v>0.44420794146037224</v>
      </c>
      <c r="L41" s="22"/>
      <c r="M41" s="22"/>
      <c r="N41" s="22"/>
      <c r="O41" s="22"/>
      <c r="P41" s="22"/>
      <c r="Q41" s="22"/>
      <c r="R41" s="27"/>
      <c r="S41" s="20" t="s">
        <v>87</v>
      </c>
      <c r="T41" s="8">
        <v>8.6747819366892007E-2</v>
      </c>
      <c r="U41" s="22"/>
      <c r="V41" s="22"/>
      <c r="W41" s="22"/>
      <c r="X41" s="22"/>
      <c r="Y41" s="22"/>
      <c r="Z41" s="22"/>
      <c r="AA41" s="27"/>
    </row>
    <row r="42" spans="1:27" x14ac:dyDescent="0.2">
      <c r="A42" s="20" t="s">
        <v>88</v>
      </c>
      <c r="B42" s="8">
        <v>0.48814453026389248</v>
      </c>
      <c r="C42" s="22"/>
      <c r="D42" s="22"/>
      <c r="E42" s="22"/>
      <c r="F42" s="22"/>
      <c r="G42" s="22"/>
      <c r="H42" s="22"/>
      <c r="I42" s="27"/>
      <c r="J42" s="20" t="s">
        <v>88</v>
      </c>
      <c r="K42" s="8">
        <v>0.43945758198567453</v>
      </c>
      <c r="L42" s="22"/>
      <c r="M42" s="22"/>
      <c r="N42" s="22"/>
      <c r="O42" s="22"/>
      <c r="P42" s="22"/>
      <c r="Q42" s="22"/>
      <c r="R42" s="27"/>
      <c r="S42" s="20" t="s">
        <v>88</v>
      </c>
      <c r="T42" s="8">
        <v>7.894224517344664E-2</v>
      </c>
      <c r="U42" s="22"/>
      <c r="V42" s="22"/>
      <c r="W42" s="22"/>
      <c r="X42" s="22"/>
      <c r="Y42" s="22"/>
      <c r="Z42" s="22"/>
      <c r="AA42" s="27"/>
    </row>
    <row r="43" spans="1:27" x14ac:dyDescent="0.2">
      <c r="A43" s="20" t="s">
        <v>89</v>
      </c>
      <c r="B43" s="8">
        <v>0.51703894915061221</v>
      </c>
      <c r="C43" s="22"/>
      <c r="D43" s="22"/>
      <c r="E43" s="22"/>
      <c r="F43" s="22"/>
      <c r="G43" s="22"/>
      <c r="H43" s="22"/>
      <c r="I43" s="27"/>
      <c r="J43" s="20" t="s">
        <v>89</v>
      </c>
      <c r="K43" s="8">
        <v>0.81745674949558111</v>
      </c>
      <c r="L43" s="22"/>
      <c r="M43" s="22"/>
      <c r="N43" s="22"/>
      <c r="O43" s="22"/>
      <c r="P43" s="22"/>
      <c r="Q43" s="22"/>
      <c r="R43" s="27"/>
      <c r="S43" s="20" t="s">
        <v>89</v>
      </c>
      <c r="T43" s="8">
        <v>0.57293870725252605</v>
      </c>
      <c r="U43" s="22"/>
      <c r="V43" s="22"/>
      <c r="W43" s="22"/>
      <c r="X43" s="22"/>
      <c r="Y43" s="22"/>
      <c r="Z43" s="22"/>
      <c r="AA43" s="27"/>
    </row>
    <row r="44" spans="1:27" ht="17" thickBot="1" x14ac:dyDescent="0.25">
      <c r="A44" s="21" t="s">
        <v>90</v>
      </c>
      <c r="B44" s="9">
        <v>119</v>
      </c>
      <c r="C44" s="22"/>
      <c r="D44" s="22"/>
      <c r="E44" s="22"/>
      <c r="F44" s="22"/>
      <c r="G44" s="22"/>
      <c r="H44" s="22"/>
      <c r="I44" s="27"/>
      <c r="J44" s="21" t="s">
        <v>90</v>
      </c>
      <c r="K44" s="9">
        <v>119</v>
      </c>
      <c r="L44" s="22"/>
      <c r="M44" s="22"/>
      <c r="N44" s="22"/>
      <c r="O44" s="22"/>
      <c r="P44" s="22"/>
      <c r="Q44" s="22"/>
      <c r="R44" s="27"/>
      <c r="S44" s="21" t="s">
        <v>90</v>
      </c>
      <c r="T44" s="9">
        <v>119</v>
      </c>
      <c r="U44" s="22"/>
      <c r="V44" s="22"/>
      <c r="W44" s="22"/>
      <c r="X44" s="22"/>
      <c r="Y44" s="22"/>
      <c r="Z44" s="22"/>
      <c r="AA44" s="27"/>
    </row>
    <row r="45" spans="1:27" x14ac:dyDescent="0.2">
      <c r="A45" s="14"/>
      <c r="B45" s="22"/>
      <c r="C45" s="22"/>
      <c r="D45" s="22"/>
      <c r="E45" s="22"/>
      <c r="F45" s="22"/>
      <c r="G45" s="22"/>
      <c r="H45" s="22"/>
      <c r="I45" s="27"/>
      <c r="J45" s="14"/>
      <c r="K45" s="22"/>
      <c r="L45" s="22"/>
      <c r="M45" s="22"/>
      <c r="N45" s="22"/>
      <c r="O45" s="22"/>
      <c r="P45" s="22"/>
      <c r="Q45" s="22"/>
      <c r="R45" s="27"/>
      <c r="S45" s="14"/>
      <c r="T45" s="22"/>
      <c r="U45" s="22"/>
      <c r="V45" s="22"/>
      <c r="W45" s="22"/>
      <c r="X45" s="22"/>
      <c r="Y45" s="22"/>
      <c r="Z45" s="22"/>
      <c r="AA45" s="27"/>
    </row>
    <row r="46" spans="1:27" ht="17" thickBot="1" x14ac:dyDescent="0.25">
      <c r="A46" s="14" t="s">
        <v>91</v>
      </c>
      <c r="B46" s="22"/>
      <c r="C46" s="22"/>
      <c r="D46" s="22"/>
      <c r="E46" s="22"/>
      <c r="F46" s="22"/>
      <c r="G46" s="22"/>
      <c r="H46" s="22"/>
      <c r="I46" s="27"/>
      <c r="J46" s="14" t="s">
        <v>91</v>
      </c>
      <c r="K46" s="22"/>
      <c r="L46" s="22"/>
      <c r="M46" s="22"/>
      <c r="N46" s="22"/>
      <c r="O46" s="22"/>
      <c r="P46" s="22"/>
      <c r="Q46" s="22"/>
      <c r="R46" s="27"/>
      <c r="S46" s="14" t="s">
        <v>91</v>
      </c>
      <c r="T46" s="22"/>
      <c r="U46" s="22"/>
      <c r="V46" s="22"/>
      <c r="W46" s="22"/>
      <c r="X46" s="22"/>
      <c r="Y46" s="22"/>
      <c r="Z46" s="22"/>
      <c r="AA46" s="27"/>
    </row>
    <row r="47" spans="1:27" x14ac:dyDescent="0.2">
      <c r="A47" s="19"/>
      <c r="B47" s="10" t="s">
        <v>96</v>
      </c>
      <c r="C47" s="10" t="s">
        <v>97</v>
      </c>
      <c r="D47" s="10" t="s">
        <v>98</v>
      </c>
      <c r="E47" s="10" t="s">
        <v>99</v>
      </c>
      <c r="F47" s="10" t="s">
        <v>100</v>
      </c>
      <c r="G47" s="22"/>
      <c r="H47" s="22"/>
      <c r="I47" s="27"/>
      <c r="J47" s="19"/>
      <c r="K47" s="10" t="s">
        <v>96</v>
      </c>
      <c r="L47" s="10" t="s">
        <v>97</v>
      </c>
      <c r="M47" s="10" t="s">
        <v>98</v>
      </c>
      <c r="N47" s="10" t="s">
        <v>99</v>
      </c>
      <c r="O47" s="10" t="s">
        <v>100</v>
      </c>
      <c r="P47" s="22"/>
      <c r="Q47" s="22"/>
      <c r="R47" s="27"/>
      <c r="S47" s="19"/>
      <c r="T47" s="10" t="s">
        <v>96</v>
      </c>
      <c r="U47" s="10" t="s">
        <v>97</v>
      </c>
      <c r="V47" s="10" t="s">
        <v>98</v>
      </c>
      <c r="W47" s="10" t="s">
        <v>99</v>
      </c>
      <c r="X47" s="10" t="s">
        <v>100</v>
      </c>
      <c r="Y47" s="22"/>
      <c r="Z47" s="22"/>
      <c r="AA47" s="27"/>
    </row>
    <row r="48" spans="1:27" x14ac:dyDescent="0.2">
      <c r="A48" s="20" t="s">
        <v>92</v>
      </c>
      <c r="B48" s="8">
        <v>1</v>
      </c>
      <c r="C48" s="8">
        <v>30.350915491473671</v>
      </c>
      <c r="D48" s="8">
        <v>30.350915491473671</v>
      </c>
      <c r="E48" s="8">
        <v>113.5338263960257</v>
      </c>
      <c r="F48" s="8">
        <v>6.1085056218707406E-19</v>
      </c>
      <c r="G48" s="22"/>
      <c r="H48" s="22"/>
      <c r="I48" s="27"/>
      <c r="J48" s="20" t="s">
        <v>92</v>
      </c>
      <c r="K48" s="8">
        <v>1</v>
      </c>
      <c r="L48" s="8">
        <v>62.486962094960333</v>
      </c>
      <c r="M48" s="8">
        <v>62.486962094960333</v>
      </c>
      <c r="N48" s="8">
        <v>93.510384598555646</v>
      </c>
      <c r="O48" s="8">
        <v>1.3063019677582811E-16</v>
      </c>
      <c r="P48" s="22"/>
      <c r="Q48" s="22"/>
      <c r="R48" s="27"/>
      <c r="S48" s="20" t="s">
        <v>92</v>
      </c>
      <c r="T48" s="8">
        <v>1</v>
      </c>
      <c r="U48" s="8">
        <v>3.6481277493657203</v>
      </c>
      <c r="V48" s="8">
        <v>3.6481277493657203</v>
      </c>
      <c r="W48" s="8">
        <v>11.113573097509905</v>
      </c>
      <c r="X48" s="8">
        <v>1.1481181528661258E-3</v>
      </c>
      <c r="Y48" s="22"/>
      <c r="Z48" s="22"/>
      <c r="AA48" s="27"/>
    </row>
    <row r="49" spans="1:27" x14ac:dyDescent="0.2">
      <c r="A49" s="20" t="s">
        <v>93</v>
      </c>
      <c r="B49" s="8">
        <v>117</v>
      </c>
      <c r="C49" s="8">
        <v>31.277525167836018</v>
      </c>
      <c r="D49" s="8">
        <v>0.2673292749387694</v>
      </c>
      <c r="E49" s="8"/>
      <c r="F49" s="8"/>
      <c r="G49" s="22"/>
      <c r="H49" s="32">
        <f>SQRT(D49)</f>
        <v>0.51703894915061221</v>
      </c>
      <c r="I49" s="27"/>
      <c r="J49" s="20" t="s">
        <v>93</v>
      </c>
      <c r="K49" s="8">
        <v>117</v>
      </c>
      <c r="L49" s="8">
        <v>78.183557863618105</v>
      </c>
      <c r="M49" s="8">
        <v>0.66823553729588125</v>
      </c>
      <c r="N49" s="8"/>
      <c r="O49" s="8"/>
      <c r="P49" s="22"/>
      <c r="Q49" s="32">
        <f>SQRT(M49)</f>
        <v>0.81745674949558111</v>
      </c>
      <c r="R49" s="27"/>
      <c r="S49" s="20" t="s">
        <v>93</v>
      </c>
      <c r="T49" s="8">
        <v>117</v>
      </c>
      <c r="U49" s="8">
        <v>38.406275185378909</v>
      </c>
      <c r="V49" s="8">
        <v>0.32825876226819578</v>
      </c>
      <c r="W49" s="8"/>
      <c r="X49" s="8"/>
      <c r="Y49" s="22"/>
      <c r="Z49" s="32">
        <f>SQRT(V49)</f>
        <v>0.57293870725252605</v>
      </c>
      <c r="AA49" s="27"/>
    </row>
    <row r="50" spans="1:27" ht="17" thickBot="1" x14ac:dyDescent="0.25">
      <c r="A50" s="21" t="s">
        <v>94</v>
      </c>
      <c r="B50" s="9">
        <v>118</v>
      </c>
      <c r="C50" s="9">
        <v>61.628440659309689</v>
      </c>
      <c r="D50" s="9"/>
      <c r="E50" s="9"/>
      <c r="F50" s="9"/>
      <c r="G50" s="22"/>
      <c r="H50" s="22"/>
      <c r="I50" s="27"/>
      <c r="J50" s="21" t="s">
        <v>94</v>
      </c>
      <c r="K50" s="9">
        <v>118</v>
      </c>
      <c r="L50" s="9">
        <v>140.67051995857844</v>
      </c>
      <c r="M50" s="9"/>
      <c r="N50" s="9"/>
      <c r="O50" s="9"/>
      <c r="P50" s="22"/>
      <c r="Q50" s="22"/>
      <c r="R50" s="27"/>
      <c r="S50" s="21" t="s">
        <v>94</v>
      </c>
      <c r="T50" s="9">
        <v>118</v>
      </c>
      <c r="U50" s="9">
        <v>42.05440293474463</v>
      </c>
      <c r="V50" s="9"/>
      <c r="W50" s="9"/>
      <c r="X50" s="9"/>
      <c r="Y50" s="22"/>
      <c r="Z50" s="22"/>
      <c r="AA50" s="27"/>
    </row>
    <row r="51" spans="1:27" ht="17" thickBot="1" x14ac:dyDescent="0.25">
      <c r="A51" s="14"/>
      <c r="B51" s="22"/>
      <c r="C51" s="22"/>
      <c r="D51" s="22"/>
      <c r="E51" s="22"/>
      <c r="F51" s="22"/>
      <c r="G51" s="22"/>
      <c r="H51" s="22"/>
      <c r="I51" s="27"/>
      <c r="J51" s="14"/>
      <c r="K51" s="22"/>
      <c r="L51" s="22"/>
      <c r="M51" s="22"/>
      <c r="N51" s="22"/>
      <c r="O51" s="22"/>
      <c r="P51" s="22"/>
      <c r="Q51" s="22"/>
      <c r="R51" s="27"/>
      <c r="S51" s="14"/>
      <c r="T51" s="22"/>
      <c r="U51" s="22"/>
      <c r="V51" s="22"/>
      <c r="W51" s="22"/>
      <c r="X51" s="22"/>
      <c r="Y51" s="22"/>
      <c r="Z51" s="22"/>
      <c r="AA51" s="27"/>
    </row>
    <row r="52" spans="1:27" x14ac:dyDescent="0.2">
      <c r="A52" s="19"/>
      <c r="B52" s="10" t="s">
        <v>101</v>
      </c>
      <c r="C52" s="10" t="s">
        <v>89</v>
      </c>
      <c r="D52" s="10" t="s">
        <v>102</v>
      </c>
      <c r="E52" s="10" t="s">
        <v>103</v>
      </c>
      <c r="F52" s="10" t="s">
        <v>104</v>
      </c>
      <c r="G52" s="10" t="s">
        <v>105</v>
      </c>
      <c r="H52" s="10" t="s">
        <v>106</v>
      </c>
      <c r="I52" s="29" t="s">
        <v>107</v>
      </c>
      <c r="J52" s="19"/>
      <c r="K52" s="10" t="s">
        <v>101</v>
      </c>
      <c r="L52" s="10" t="s">
        <v>89</v>
      </c>
      <c r="M52" s="10" t="s">
        <v>102</v>
      </c>
      <c r="N52" s="10" t="s">
        <v>103</v>
      </c>
      <c r="O52" s="10" t="s">
        <v>104</v>
      </c>
      <c r="P52" s="10" t="s">
        <v>105</v>
      </c>
      <c r="Q52" s="10" t="s">
        <v>106</v>
      </c>
      <c r="R52" s="29" t="s">
        <v>107</v>
      </c>
      <c r="S52" s="19"/>
      <c r="T52" s="10" t="s">
        <v>101</v>
      </c>
      <c r="U52" s="10" t="s">
        <v>89</v>
      </c>
      <c r="V52" s="10" t="s">
        <v>102</v>
      </c>
      <c r="W52" s="10" t="s">
        <v>103</v>
      </c>
      <c r="X52" s="10" t="s">
        <v>104</v>
      </c>
      <c r="Y52" s="10" t="s">
        <v>105</v>
      </c>
      <c r="Z52" s="10" t="s">
        <v>106</v>
      </c>
      <c r="AA52" s="29" t="s">
        <v>107</v>
      </c>
    </row>
    <row r="53" spans="1:27" x14ac:dyDescent="0.2">
      <c r="A53" s="20" t="s">
        <v>95</v>
      </c>
      <c r="B53" s="8">
        <v>0.17746334872445491</v>
      </c>
      <c r="C53" s="8">
        <v>4.8728559058425963E-2</v>
      </c>
      <c r="D53" s="8">
        <v>3.6418755685279924</v>
      </c>
      <c r="E53" s="8">
        <v>4.0461141145439701E-4</v>
      </c>
      <c r="F53" s="8">
        <v>8.0958990949892798E-2</v>
      </c>
      <c r="G53" s="8">
        <v>0.27396770649901703</v>
      </c>
      <c r="H53" s="8">
        <v>8.0958990949892798E-2</v>
      </c>
      <c r="I53" s="30">
        <v>0.27396770649901703</v>
      </c>
      <c r="J53" s="20" t="s">
        <v>95</v>
      </c>
      <c r="K53" s="8">
        <v>-9.0260653962074056E-2</v>
      </c>
      <c r="L53" s="8">
        <v>7.7041564394602177E-2</v>
      </c>
      <c r="M53" s="8">
        <v>-1.1715838673753367</v>
      </c>
      <c r="N53" s="8">
        <v>0.24374449531533943</v>
      </c>
      <c r="O53" s="8">
        <v>-0.24283743516617673</v>
      </c>
      <c r="P53" s="8">
        <v>6.2316127242028618E-2</v>
      </c>
      <c r="Q53" s="8">
        <v>-0.24283743516617673</v>
      </c>
      <c r="R53" s="30">
        <v>6.2316127242028618E-2</v>
      </c>
      <c r="S53" s="20" t="s">
        <v>95</v>
      </c>
      <c r="T53" s="8">
        <v>8.6974455293120853E-2</v>
      </c>
      <c r="U53" s="8">
        <v>5.3996855902398083E-2</v>
      </c>
      <c r="V53" s="8">
        <v>1.6107318442824035</v>
      </c>
      <c r="W53" s="8">
        <v>0.10993281819686054</v>
      </c>
      <c r="X53" s="8">
        <v>-1.9963488315237199E-2</v>
      </c>
      <c r="Y53" s="8">
        <v>0.19391239890147891</v>
      </c>
      <c r="Z53" s="8">
        <v>-1.9963488315237199E-2</v>
      </c>
      <c r="AA53" s="30">
        <v>0.19391239890147891</v>
      </c>
    </row>
    <row r="54" spans="1:27" ht="17" thickBot="1" x14ac:dyDescent="0.25">
      <c r="A54" s="21" t="s">
        <v>67</v>
      </c>
      <c r="B54" s="9">
        <v>1.0765828740170296</v>
      </c>
      <c r="C54" s="9">
        <v>0.10103802057175076</v>
      </c>
      <c r="D54" s="9">
        <v>10.655225309491382</v>
      </c>
      <c r="E54" s="9">
        <v>6.1085056218707406E-19</v>
      </c>
      <c r="F54" s="9">
        <v>0.87648236879998143</v>
      </c>
      <c r="G54" s="9">
        <v>1.2766833792340777</v>
      </c>
      <c r="H54" s="9">
        <v>0.87648236879998143</v>
      </c>
      <c r="I54" s="31">
        <v>1.2766833792340777</v>
      </c>
      <c r="J54" s="21" t="s">
        <v>67</v>
      </c>
      <c r="K54" s="9">
        <v>1.5447431383617443</v>
      </c>
      <c r="L54" s="9">
        <v>0.15974466141813146</v>
      </c>
      <c r="M54" s="9">
        <v>9.6700767628057438</v>
      </c>
      <c r="N54" s="9">
        <v>1.3063019677582998E-16</v>
      </c>
      <c r="O54" s="9">
        <v>1.2283772072537125</v>
      </c>
      <c r="P54" s="9">
        <v>1.8611090694697761</v>
      </c>
      <c r="Q54" s="9">
        <v>1.2283772072537125</v>
      </c>
      <c r="R54" s="31">
        <v>1.8611090694697761</v>
      </c>
      <c r="S54" s="21" t="s">
        <v>67</v>
      </c>
      <c r="T54" s="9">
        <v>0.37324722551615763</v>
      </c>
      <c r="U54" s="9">
        <v>0.11196176416657194</v>
      </c>
      <c r="V54" s="9">
        <v>3.333702610838253</v>
      </c>
      <c r="W54" s="9">
        <v>1.1481181528662052E-3</v>
      </c>
      <c r="X54" s="9">
        <v>0.15151281852811269</v>
      </c>
      <c r="Y54" s="9">
        <v>0.59498163250420255</v>
      </c>
      <c r="Z54" s="9">
        <v>0.15151281852811269</v>
      </c>
      <c r="AA54" s="31">
        <v>0.59498163250420255</v>
      </c>
    </row>
    <row r="55" spans="1:27" ht="22" thickBot="1" x14ac:dyDescent="0.25">
      <c r="A55" s="37" t="s">
        <v>31</v>
      </c>
      <c r="B55" s="38"/>
      <c r="C55" s="38"/>
      <c r="D55" s="38"/>
      <c r="E55" s="38"/>
      <c r="F55" s="38"/>
      <c r="G55" s="38"/>
      <c r="H55" s="38"/>
      <c r="I55" s="39"/>
    </row>
    <row r="56" spans="1:27" ht="17" thickBot="1" x14ac:dyDescent="0.25">
      <c r="A56" s="14"/>
      <c r="B56" s="22"/>
      <c r="C56" s="22"/>
      <c r="D56" s="22"/>
      <c r="E56" s="22"/>
      <c r="F56" s="22"/>
      <c r="G56" s="22"/>
      <c r="H56" s="22"/>
      <c r="I56" s="27"/>
    </row>
    <row r="57" spans="1:27" x14ac:dyDescent="0.2">
      <c r="A57" s="28" t="s">
        <v>85</v>
      </c>
      <c r="B57" s="26"/>
      <c r="C57" s="22"/>
      <c r="D57" s="22"/>
      <c r="E57" s="22"/>
      <c r="F57" s="22"/>
      <c r="G57" s="22"/>
      <c r="H57" s="22"/>
      <c r="I57" s="27"/>
    </row>
    <row r="58" spans="1:27" x14ac:dyDescent="0.2">
      <c r="A58" s="20" t="s">
        <v>86</v>
      </c>
      <c r="B58" s="8">
        <v>0.47339770308189638</v>
      </c>
      <c r="C58" s="22"/>
      <c r="D58" s="22"/>
      <c r="E58" s="22"/>
      <c r="F58" s="22"/>
      <c r="G58" s="22"/>
      <c r="H58" s="22"/>
      <c r="I58" s="27"/>
    </row>
    <row r="59" spans="1:27" x14ac:dyDescent="0.2">
      <c r="A59" s="20" t="s">
        <v>87</v>
      </c>
      <c r="B59" s="8">
        <v>0.2241053852832153</v>
      </c>
      <c r="C59" s="22"/>
      <c r="D59" s="22"/>
      <c r="E59" s="22"/>
      <c r="F59" s="22"/>
      <c r="G59" s="22"/>
      <c r="H59" s="22"/>
      <c r="I59" s="27"/>
    </row>
    <row r="60" spans="1:27" x14ac:dyDescent="0.2">
      <c r="A60" s="20" t="s">
        <v>88</v>
      </c>
      <c r="B60" s="8">
        <v>0.21747380737965305</v>
      </c>
      <c r="C60" s="22"/>
      <c r="D60" s="22"/>
      <c r="E60" s="22"/>
      <c r="F60" s="22"/>
      <c r="G60" s="22"/>
      <c r="H60" s="22"/>
      <c r="I60" s="27"/>
    </row>
    <row r="61" spans="1:27" x14ac:dyDescent="0.2">
      <c r="A61" s="20" t="s">
        <v>89</v>
      </c>
      <c r="B61" s="8">
        <v>0.66907850740282382</v>
      </c>
      <c r="C61" s="22"/>
      <c r="D61" s="22"/>
      <c r="E61" s="22"/>
      <c r="F61" s="22"/>
      <c r="G61" s="22"/>
      <c r="H61" s="22"/>
      <c r="I61" s="27"/>
    </row>
    <row r="62" spans="1:27" ht="17" thickBot="1" x14ac:dyDescent="0.25">
      <c r="A62" s="21" t="s">
        <v>90</v>
      </c>
      <c r="B62" s="9">
        <v>119</v>
      </c>
      <c r="C62" s="22"/>
      <c r="D62" s="22"/>
      <c r="E62" s="22"/>
      <c r="F62" s="22"/>
      <c r="G62" s="22"/>
      <c r="H62" s="22"/>
      <c r="I62" s="27"/>
    </row>
    <row r="63" spans="1:27" x14ac:dyDescent="0.2">
      <c r="A63" s="14"/>
      <c r="B63" s="22"/>
      <c r="C63" s="22"/>
      <c r="D63" s="22"/>
      <c r="E63" s="22"/>
      <c r="F63" s="22"/>
      <c r="G63" s="22"/>
      <c r="H63" s="22"/>
      <c r="I63" s="27"/>
    </row>
    <row r="64" spans="1:27" ht="17" thickBot="1" x14ac:dyDescent="0.25">
      <c r="A64" s="14" t="s">
        <v>91</v>
      </c>
      <c r="B64" s="22"/>
      <c r="C64" s="22"/>
      <c r="D64" s="22"/>
      <c r="E64" s="22"/>
      <c r="F64" s="22"/>
      <c r="G64" s="22"/>
      <c r="H64" s="22"/>
      <c r="I64" s="27"/>
    </row>
    <row r="65" spans="1:9" x14ac:dyDescent="0.2">
      <c r="A65" s="19"/>
      <c r="B65" s="10" t="s">
        <v>96</v>
      </c>
      <c r="C65" s="10" t="s">
        <v>97</v>
      </c>
      <c r="D65" s="10" t="s">
        <v>98</v>
      </c>
      <c r="E65" s="10" t="s">
        <v>99</v>
      </c>
      <c r="F65" s="10" t="s">
        <v>100</v>
      </c>
      <c r="G65" s="22"/>
      <c r="H65" s="22"/>
      <c r="I65" s="27"/>
    </row>
    <row r="66" spans="1:9" x14ac:dyDescent="0.2">
      <c r="A66" s="20" t="s">
        <v>92</v>
      </c>
      <c r="B66" s="8">
        <v>1</v>
      </c>
      <c r="C66" s="8">
        <v>15.128280759665891</v>
      </c>
      <c r="D66" s="8">
        <v>15.128280759665891</v>
      </c>
      <c r="E66" s="8">
        <v>33.793674528475854</v>
      </c>
      <c r="F66" s="8">
        <v>5.4114516679042607E-8</v>
      </c>
      <c r="G66" s="22"/>
      <c r="H66" s="22"/>
      <c r="I66" s="27"/>
    </row>
    <row r="67" spans="1:9" x14ac:dyDescent="0.2">
      <c r="A67" s="20" t="s">
        <v>93</v>
      </c>
      <c r="B67" s="8">
        <v>117</v>
      </c>
      <c r="C67" s="8">
        <v>52.376927741001701</v>
      </c>
      <c r="D67" s="8">
        <v>0.44766604906839058</v>
      </c>
      <c r="E67" s="8"/>
      <c r="F67" s="8"/>
      <c r="G67" s="22"/>
      <c r="H67" s="32">
        <f>SQRT(D67)</f>
        <v>0.66907850740282382</v>
      </c>
      <c r="I67" s="27"/>
    </row>
    <row r="68" spans="1:9" ht="17" thickBot="1" x14ac:dyDescent="0.25">
      <c r="A68" s="21" t="s">
        <v>94</v>
      </c>
      <c r="B68" s="9">
        <v>118</v>
      </c>
      <c r="C68" s="9">
        <v>67.505208500667592</v>
      </c>
      <c r="D68" s="9"/>
      <c r="E68" s="9"/>
      <c r="F68" s="9"/>
      <c r="G68" s="22"/>
      <c r="H68" s="22"/>
      <c r="I68" s="27"/>
    </row>
    <row r="69" spans="1:9" ht="17" thickBot="1" x14ac:dyDescent="0.25">
      <c r="A69" s="14"/>
      <c r="B69" s="22"/>
      <c r="C69" s="22"/>
      <c r="D69" s="22"/>
      <c r="E69" s="22"/>
      <c r="F69" s="22"/>
      <c r="G69" s="22"/>
      <c r="H69" s="22"/>
      <c r="I69" s="27"/>
    </row>
    <row r="70" spans="1:9" x14ac:dyDescent="0.2">
      <c r="A70" s="19"/>
      <c r="B70" s="10" t="s">
        <v>101</v>
      </c>
      <c r="C70" s="10" t="s">
        <v>89</v>
      </c>
      <c r="D70" s="10" t="s">
        <v>102</v>
      </c>
      <c r="E70" s="10" t="s">
        <v>103</v>
      </c>
      <c r="F70" s="10" t="s">
        <v>104</v>
      </c>
      <c r="G70" s="10" t="s">
        <v>105</v>
      </c>
      <c r="H70" s="10" t="s">
        <v>106</v>
      </c>
      <c r="I70" s="29" t="s">
        <v>107</v>
      </c>
    </row>
    <row r="71" spans="1:9" x14ac:dyDescent="0.2">
      <c r="A71" s="20" t="s">
        <v>95</v>
      </c>
      <c r="B71" s="8">
        <v>0.14081360773220475</v>
      </c>
      <c r="C71" s="8">
        <v>6.305759288785176E-2</v>
      </c>
      <c r="D71" s="8">
        <v>2.2330951957307099</v>
      </c>
      <c r="E71" s="8">
        <v>2.7444659017351311E-2</v>
      </c>
      <c r="F71" s="8">
        <v>1.5931349318703061E-2</v>
      </c>
      <c r="G71" s="8">
        <v>0.26569586614570645</v>
      </c>
      <c r="H71" s="8">
        <v>1.5931349318703061E-2</v>
      </c>
      <c r="I71" s="30">
        <v>0.26569586614570645</v>
      </c>
    </row>
    <row r="72" spans="1:9" ht="17" thickBot="1" x14ac:dyDescent="0.25">
      <c r="A72" s="21" t="s">
        <v>67</v>
      </c>
      <c r="B72" s="9">
        <v>0.76007484054633379</v>
      </c>
      <c r="C72" s="9">
        <v>0.13074908206845826</v>
      </c>
      <c r="D72" s="9">
        <v>5.813232708955999</v>
      </c>
      <c r="E72" s="9">
        <v>5.4114516679041528E-8</v>
      </c>
      <c r="F72" s="9">
        <v>0.50113313493379641</v>
      </c>
      <c r="G72" s="9">
        <v>1.0190165461588712</v>
      </c>
      <c r="H72" s="9">
        <v>0.50113313493379641</v>
      </c>
      <c r="I72" s="31">
        <v>1.0190165461588712</v>
      </c>
    </row>
  </sheetData>
  <mergeCells count="10">
    <mergeCell ref="A37:I37"/>
    <mergeCell ref="J37:R37"/>
    <mergeCell ref="S37:AA37"/>
    <mergeCell ref="A55:I55"/>
    <mergeCell ref="A1:I1"/>
    <mergeCell ref="J1:R1"/>
    <mergeCell ref="S1:AA1"/>
    <mergeCell ref="A19:I19"/>
    <mergeCell ref="J19:R19"/>
    <mergeCell ref="S19:AA19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71B7F-68B4-A94D-B190-A52EBC44427F}">
  <dimension ref="A1:O80"/>
  <sheetViews>
    <sheetView showGridLines="0" topLeftCell="F2" zoomScale="90" zoomScaleNormal="90" workbookViewId="0">
      <selection activeCell="K20" sqref="K20"/>
    </sheetView>
  </sheetViews>
  <sheetFormatPr baseColWidth="10" defaultRowHeight="16" x14ac:dyDescent="0.2"/>
  <cols>
    <col min="1" max="2" width="15.83203125" bestFit="1" customWidth="1"/>
    <col min="3" max="3" width="14.83203125" bestFit="1" customWidth="1"/>
    <col min="4" max="5" width="13.1640625" bestFit="1" customWidth="1"/>
    <col min="7" max="7" width="16.83203125" bestFit="1" customWidth="1"/>
    <col min="8" max="8" width="15.1640625" bestFit="1" customWidth="1"/>
    <col min="9" max="9" width="12.1640625" customWidth="1"/>
    <col min="10" max="10" width="11.5" bestFit="1" customWidth="1"/>
    <col min="11" max="11" width="15" bestFit="1" customWidth="1"/>
    <col min="12" max="12" width="16.33203125" bestFit="1" customWidth="1"/>
    <col min="13" max="13" width="16.1640625" bestFit="1" customWidth="1"/>
    <col min="15" max="15" width="20.5" bestFit="1" customWidth="1"/>
    <col min="16" max="16" width="15.83203125" bestFit="1" customWidth="1"/>
    <col min="17" max="17" width="12.6640625" bestFit="1" customWidth="1"/>
    <col min="26" max="27" width="12.1640625" bestFit="1" customWidth="1"/>
  </cols>
  <sheetData>
    <row r="1" spans="1:13" ht="20" thickBot="1" x14ac:dyDescent="0.3">
      <c r="A1" s="13" t="s">
        <v>47</v>
      </c>
    </row>
    <row r="2" spans="1:13" ht="17" thickBot="1" x14ac:dyDescent="0.25">
      <c r="A2" s="49" t="s">
        <v>41</v>
      </c>
      <c r="B2" s="40" t="s">
        <v>3</v>
      </c>
      <c r="C2" s="41" t="s">
        <v>6</v>
      </c>
      <c r="D2" s="41" t="s">
        <v>10</v>
      </c>
      <c r="E2" s="41" t="s">
        <v>13</v>
      </c>
      <c r="F2" s="42" t="s">
        <v>16</v>
      </c>
      <c r="H2" s="49" t="s">
        <v>121</v>
      </c>
    </row>
    <row r="3" spans="1:13" ht="17" thickBot="1" x14ac:dyDescent="0.25">
      <c r="A3" s="122" t="s">
        <v>37</v>
      </c>
      <c r="B3" s="125">
        <v>0.20446343472257486</v>
      </c>
      <c r="C3" s="126">
        <v>0.23334839587811365</v>
      </c>
      <c r="D3" s="126">
        <v>0.16684767731577851</v>
      </c>
      <c r="E3" s="126">
        <v>0.19746111940972205</v>
      </c>
      <c r="F3" s="127">
        <v>0.14628966308227639</v>
      </c>
      <c r="G3" s="12"/>
      <c r="H3" s="140">
        <v>0.02</v>
      </c>
    </row>
    <row r="4" spans="1:13" ht="17" thickBot="1" x14ac:dyDescent="0.25">
      <c r="A4" s="122" t="s">
        <v>38</v>
      </c>
      <c r="B4" s="128">
        <v>0.68201674476823382</v>
      </c>
      <c r="C4" s="128">
        <v>0.72706759541598098</v>
      </c>
      <c r="D4" s="128">
        <v>1.1893405588011026</v>
      </c>
      <c r="E4" s="128">
        <v>0.5487850777994232</v>
      </c>
      <c r="F4" s="129">
        <v>1.132448355308022</v>
      </c>
    </row>
    <row r="5" spans="1:13" ht="17" thickBot="1" x14ac:dyDescent="0.25"/>
    <row r="6" spans="1:13" ht="17" thickBot="1" x14ac:dyDescent="0.25">
      <c r="A6" s="119" t="s">
        <v>40</v>
      </c>
      <c r="B6" s="41" t="s">
        <v>3</v>
      </c>
      <c r="C6" s="41" t="s">
        <v>6</v>
      </c>
      <c r="D6" s="41" t="s">
        <v>10</v>
      </c>
      <c r="E6" s="41" t="s">
        <v>13</v>
      </c>
      <c r="F6" s="42" t="s">
        <v>16</v>
      </c>
    </row>
    <row r="7" spans="1:13" x14ac:dyDescent="0.2">
      <c r="A7" s="77" t="s">
        <v>3</v>
      </c>
      <c r="B7" s="98"/>
      <c r="C7" s="98"/>
      <c r="D7" s="98"/>
      <c r="E7" s="98"/>
      <c r="F7" s="99"/>
    </row>
    <row r="8" spans="1:13" x14ac:dyDescent="0.2">
      <c r="A8" s="96" t="s">
        <v>6</v>
      </c>
      <c r="B8" s="142">
        <v>0.44584696114245531</v>
      </c>
      <c r="C8" s="130"/>
      <c r="D8" s="130"/>
      <c r="E8" s="130"/>
      <c r="F8" s="131"/>
    </row>
    <row r="9" spans="1:13" x14ac:dyDescent="0.2">
      <c r="A9" s="96" t="s">
        <v>10</v>
      </c>
      <c r="B9" s="134">
        <v>0.35497629399925862</v>
      </c>
      <c r="C9" s="143">
        <v>0.22688064095434041</v>
      </c>
      <c r="D9" s="130"/>
      <c r="E9" s="130"/>
      <c r="F9" s="131"/>
    </row>
    <row r="10" spans="1:13" x14ac:dyDescent="0.2">
      <c r="A10" s="96" t="s">
        <v>13</v>
      </c>
      <c r="B10" s="134">
        <v>0.72679126305977282</v>
      </c>
      <c r="C10" s="134">
        <v>0.45133912408488125</v>
      </c>
      <c r="D10" s="143">
        <v>0.49693986258979944</v>
      </c>
      <c r="E10" s="130"/>
      <c r="F10" s="131"/>
    </row>
    <row r="11" spans="1:13" ht="17" thickBot="1" x14ac:dyDescent="0.25">
      <c r="A11" s="97" t="s">
        <v>16</v>
      </c>
      <c r="B11" s="135">
        <v>0.50420117918045604</v>
      </c>
      <c r="C11" s="135">
        <v>0.37205144937814844</v>
      </c>
      <c r="D11" s="135">
        <v>0.39850435248415911</v>
      </c>
      <c r="E11" s="144">
        <v>0.59929139041462265</v>
      </c>
      <c r="F11" s="132"/>
    </row>
    <row r="13" spans="1:13" ht="20" thickBot="1" x14ac:dyDescent="0.3">
      <c r="A13" s="13" t="s">
        <v>123</v>
      </c>
      <c r="J13" s="233" t="s">
        <v>145</v>
      </c>
      <c r="K13" s="233"/>
      <c r="L13" s="233"/>
      <c r="M13" s="232"/>
    </row>
    <row r="14" spans="1:13" ht="17" thickBot="1" x14ac:dyDescent="0.25">
      <c r="A14" s="49" t="s">
        <v>41</v>
      </c>
      <c r="B14" s="40" t="s">
        <v>3</v>
      </c>
      <c r="C14" s="41" t="s">
        <v>6</v>
      </c>
      <c r="D14" s="41" t="s">
        <v>10</v>
      </c>
      <c r="E14" s="41" t="s">
        <v>13</v>
      </c>
      <c r="F14" s="42" t="s">
        <v>16</v>
      </c>
      <c r="G14" s="40" t="s">
        <v>45</v>
      </c>
      <c r="H14" s="49" t="s">
        <v>48</v>
      </c>
      <c r="J14" s="40" t="s">
        <v>122</v>
      </c>
      <c r="K14" s="49" t="s">
        <v>66</v>
      </c>
      <c r="L14" s="49" t="s">
        <v>37</v>
      </c>
    </row>
    <row r="15" spans="1:13" ht="17" thickBot="1" x14ac:dyDescent="0.25">
      <c r="A15" s="122" t="s">
        <v>42</v>
      </c>
      <c r="B15" s="153">
        <v>9.5441606096251436E-2</v>
      </c>
      <c r="C15" s="153">
        <v>0.36822499334554792</v>
      </c>
      <c r="D15" s="153">
        <v>-4.0851775318443015E-2</v>
      </c>
      <c r="E15" s="153">
        <v>0.76695575942319416</v>
      </c>
      <c r="F15" s="154">
        <v>-0.1897706494295498</v>
      </c>
      <c r="G15" s="124">
        <f>SQRT(B15^2*B4^2+C15^2*C4^2+D15^2*D4+E15^2*E4^2+F15^2*F4^2+2*B8*B15*C15*B4*C4+2*B9*B15*D15*B4*D4+2*B10*B15*E15*B4*E4+2*B11*B15*F15*B4*F4+2*C9*C15*D15*C4*D4+2*C10*C15*E15*C4*E4+2*C11*C15*F15*C4*F4+2*D10*D15*E15*D4*E4+2*D11*D15*F15*D4*F4+2*E11*E15*F15*E4*F4)</f>
        <v>0.52233235113344467</v>
      </c>
      <c r="H15" s="124">
        <f>SUMPRODUCT(B3:F3,B15:F15)</f>
        <v>0.22230546471666679</v>
      </c>
      <c r="J15" s="231">
        <v>0.5</v>
      </c>
      <c r="K15" s="124">
        <f>(1-J15)*G15</f>
        <v>0.26116617556672234</v>
      </c>
      <c r="L15" s="124">
        <f>J15*H3+(1-J15)*H15</f>
        <v>0.12115273235833339</v>
      </c>
    </row>
    <row r="17" spans="1:13" ht="20" thickBot="1" x14ac:dyDescent="0.3">
      <c r="A17" s="13" t="s">
        <v>44</v>
      </c>
    </row>
    <row r="18" spans="1:13" ht="17" thickBot="1" x14ac:dyDescent="0.25">
      <c r="A18" s="121" t="s">
        <v>119</v>
      </c>
      <c r="B18" s="124">
        <f>(H15-H3)/G15</f>
        <v>0.38731176477518642</v>
      </c>
    </row>
    <row r="20" spans="1:13" ht="20" thickBot="1" x14ac:dyDescent="0.3">
      <c r="A20" s="13" t="s">
        <v>46</v>
      </c>
    </row>
    <row r="21" spans="1:13" ht="17" thickBot="1" x14ac:dyDescent="0.25">
      <c r="A21" s="151"/>
      <c r="B21" s="49" t="s">
        <v>58</v>
      </c>
    </row>
    <row r="22" spans="1:13" ht="17" thickBot="1" x14ac:dyDescent="0.25">
      <c r="A22" s="49" t="s">
        <v>49</v>
      </c>
      <c r="B22" s="230">
        <f>SUM(B15:F15)</f>
        <v>0.99999993411700061</v>
      </c>
    </row>
    <row r="24" spans="1:13" ht="20" thickBot="1" x14ac:dyDescent="0.3">
      <c r="B24" s="233" t="s">
        <v>128</v>
      </c>
      <c r="C24" s="233"/>
      <c r="D24" s="233"/>
      <c r="E24" s="233"/>
      <c r="F24" s="233"/>
      <c r="G24" s="233"/>
      <c r="H24" s="233"/>
      <c r="J24" s="233" t="s">
        <v>127</v>
      </c>
      <c r="K24" s="233"/>
      <c r="L24" s="233"/>
    </row>
    <row r="25" spans="1:13" x14ac:dyDescent="0.2">
      <c r="B25" s="66" t="s">
        <v>3</v>
      </c>
      <c r="C25" s="67" t="s">
        <v>6</v>
      </c>
      <c r="D25" s="67" t="s">
        <v>10</v>
      </c>
      <c r="E25" s="67" t="s">
        <v>13</v>
      </c>
      <c r="F25" s="68" t="s">
        <v>16</v>
      </c>
      <c r="G25" s="113"/>
      <c r="H25" s="35"/>
      <c r="J25" s="229"/>
      <c r="K25" s="229"/>
      <c r="L25" s="229"/>
    </row>
    <row r="26" spans="1:13" ht="35" thickBot="1" x14ac:dyDescent="0.25">
      <c r="B26" s="111" t="s">
        <v>51</v>
      </c>
      <c r="C26" s="95" t="s">
        <v>52</v>
      </c>
      <c r="D26" s="95" t="s">
        <v>53</v>
      </c>
      <c r="E26" s="95" t="s">
        <v>54</v>
      </c>
      <c r="F26" s="112" t="s">
        <v>55</v>
      </c>
      <c r="G26" s="111" t="s">
        <v>38</v>
      </c>
      <c r="H26" s="114" t="s">
        <v>126</v>
      </c>
      <c r="J26" s="97" t="s">
        <v>124</v>
      </c>
      <c r="K26" s="97" t="s">
        <v>38</v>
      </c>
      <c r="L26" s="97" t="s">
        <v>126</v>
      </c>
    </row>
    <row r="27" spans="1:13" ht="17" thickBot="1" x14ac:dyDescent="0.25">
      <c r="B27" s="218">
        <v>-3.5888816861910505E-2</v>
      </c>
      <c r="C27" s="130">
        <v>-0.21023976783035028</v>
      </c>
      <c r="D27" s="130">
        <v>0.1380123670229142</v>
      </c>
      <c r="E27" s="130">
        <v>0.84547274278591922</v>
      </c>
      <c r="F27" s="130">
        <v>0.26264347799216986</v>
      </c>
      <c r="G27" s="211">
        <v>0.70553042128553589</v>
      </c>
      <c r="H27" s="212">
        <v>0.1720000000000001</v>
      </c>
      <c r="J27" s="234"/>
      <c r="K27" s="239">
        <f>K15</f>
        <v>0.26116617556672234</v>
      </c>
      <c r="L27" s="240">
        <f>L15</f>
        <v>0.12115273235833339</v>
      </c>
    </row>
    <row r="28" spans="1:13" ht="17" thickBot="1" x14ac:dyDescent="0.25">
      <c r="B28" s="219">
        <v>-2.2313463418789078E-2</v>
      </c>
      <c r="C28" s="220">
        <v>-0.15044466873468673</v>
      </c>
      <c r="D28" s="220">
        <v>0.11952339256093626</v>
      </c>
      <c r="E28" s="220">
        <v>0.83735655201980719</v>
      </c>
      <c r="F28" s="220">
        <v>0.21587818736613065</v>
      </c>
      <c r="G28" s="213">
        <v>0.66415155259185688</v>
      </c>
      <c r="H28" s="214">
        <f>H27+0.0052</f>
        <v>0.17720000000000011</v>
      </c>
      <c r="J28" s="238">
        <v>1</v>
      </c>
      <c r="K28" s="242">
        <f t="dataTable" ref="K28:L48" dt2D="0" dtr="0" r1="J15"/>
        <v>0</v>
      </c>
      <c r="L28" s="241">
        <v>0.02</v>
      </c>
      <c r="M28" s="42" t="s">
        <v>125</v>
      </c>
    </row>
    <row r="29" spans="1:13" x14ac:dyDescent="0.2">
      <c r="B29" s="218">
        <v>-2.1843269509439545E-2</v>
      </c>
      <c r="C29" s="130">
        <v>-8.7930035390425543E-2</v>
      </c>
      <c r="D29" s="130">
        <v>0.10069095780648127</v>
      </c>
      <c r="E29" s="130">
        <v>0.83965346964190413</v>
      </c>
      <c r="F29" s="130">
        <v>0.16942887608162072</v>
      </c>
      <c r="G29" s="215">
        <v>0.6262291275081443</v>
      </c>
      <c r="H29" s="216">
        <f>H28+0.0052</f>
        <v>0.18240000000000012</v>
      </c>
      <c r="J29" s="218">
        <v>0.9</v>
      </c>
      <c r="K29" s="243">
        <v>5.2233235113344455E-2</v>
      </c>
      <c r="L29" s="244">
        <v>4.0230546471666677E-2</v>
      </c>
    </row>
    <row r="30" spans="1:13" x14ac:dyDescent="0.2">
      <c r="B30" s="219">
        <v>4.8370191687464063E-3</v>
      </c>
      <c r="C30" s="220">
        <v>-3.0855179137103169E-2</v>
      </c>
      <c r="D30" s="220">
        <v>8.2545305406562255E-2</v>
      </c>
      <c r="E30" s="220">
        <v>0.82112561779818771</v>
      </c>
      <c r="F30" s="220">
        <v>0.12234723920775545</v>
      </c>
      <c r="G30" s="213">
        <v>0.59233884242340773</v>
      </c>
      <c r="H30" s="214">
        <f>H29+0.0052</f>
        <v>0.18760000000000013</v>
      </c>
      <c r="J30" s="219">
        <v>0.8</v>
      </c>
      <c r="K30" s="246">
        <v>0.10446647022668891</v>
      </c>
      <c r="L30" s="245">
        <v>6.046109294333335E-2</v>
      </c>
    </row>
    <row r="31" spans="1:13" x14ac:dyDescent="0.2">
      <c r="B31" s="218">
        <v>1.8412251419312509E-2</v>
      </c>
      <c r="C31" s="130">
        <v>2.8939577427895487E-2</v>
      </c>
      <c r="D31" s="130">
        <v>6.4056227733089527E-2</v>
      </c>
      <c r="E31" s="130">
        <v>0.81301016422496064</v>
      </c>
      <c r="F31" s="130">
        <v>7.5581781639840695E-2</v>
      </c>
      <c r="G31" s="215">
        <v>0.56330203598811024</v>
      </c>
      <c r="H31" s="216">
        <f>H30+0.0052</f>
        <v>0.19280000000000014</v>
      </c>
      <c r="J31" s="218">
        <v>0.7</v>
      </c>
      <c r="K31" s="243">
        <v>0.15669970534003341</v>
      </c>
      <c r="L31" s="244">
        <v>8.0691639415000044E-2</v>
      </c>
    </row>
    <row r="32" spans="1:13" x14ac:dyDescent="0.2">
      <c r="B32" s="219">
        <v>3.1987523988532017E-2</v>
      </c>
      <c r="C32" s="220">
        <v>8.873439359746417E-2</v>
      </c>
      <c r="D32" s="220">
        <v>4.5567087309079733E-2</v>
      </c>
      <c r="E32" s="220">
        <v>0.80489460863957485</v>
      </c>
      <c r="F32" s="220">
        <v>2.8816387372501306E-2</v>
      </c>
      <c r="G32" s="213">
        <v>0.53987002317202626</v>
      </c>
      <c r="H32" s="214">
        <f>H31+0.0052</f>
        <v>0.19800000000000015</v>
      </c>
      <c r="J32" s="219">
        <v>0.6</v>
      </c>
      <c r="K32" s="246">
        <v>0.20893294045337787</v>
      </c>
      <c r="L32" s="245">
        <v>0.10092218588666672</v>
      </c>
    </row>
    <row r="33" spans="2:13" x14ac:dyDescent="0.2">
      <c r="B33" s="218">
        <v>4.5562782872017621E-2</v>
      </c>
      <c r="C33" s="130">
        <v>0.1485292376189786</v>
      </c>
      <c r="D33" s="130">
        <v>2.7078162589142123E-2</v>
      </c>
      <c r="E33" s="130">
        <v>0.79677892356197355</v>
      </c>
      <c r="F33" s="130">
        <v>-1.794910772176583E-2</v>
      </c>
      <c r="G33" s="215">
        <v>0.52279698631231708</v>
      </c>
      <c r="H33" s="216">
        <f>H32+0.0052</f>
        <v>0.20320000000000016</v>
      </c>
      <c r="J33" s="218">
        <v>0.5</v>
      </c>
      <c r="K33" s="243">
        <v>0.26116617556672234</v>
      </c>
      <c r="L33" s="244">
        <v>0.12115273235833339</v>
      </c>
    </row>
    <row r="34" spans="2:13" x14ac:dyDescent="0.2">
      <c r="B34" s="219">
        <v>5.9138553277766931E-2</v>
      </c>
      <c r="C34" s="220">
        <v>0.2083264171741159</v>
      </c>
      <c r="D34" s="220">
        <v>8.5884418677268162E-3</v>
      </c>
      <c r="E34" s="220">
        <v>0.7886629273721566</v>
      </c>
      <c r="F34" s="220">
        <v>-6.4716336938261371E-2</v>
      </c>
      <c r="G34" s="213">
        <v>0.5127183156286208</v>
      </c>
      <c r="H34" s="214">
        <f>H33+0.0052</f>
        <v>0.20840000000000017</v>
      </c>
      <c r="J34" s="219">
        <v>0.4</v>
      </c>
      <c r="K34" s="246">
        <v>0.31339941068006677</v>
      </c>
      <c r="L34" s="245">
        <v>0.14138327883000007</v>
      </c>
    </row>
    <row r="35" spans="2:13" x14ac:dyDescent="0.2">
      <c r="B35" s="218">
        <v>7.2713342004392029E-2</v>
      </c>
      <c r="C35" s="130">
        <v>0.26811883594416447</v>
      </c>
      <c r="D35" s="130">
        <v>-9.8999196476938622E-3</v>
      </c>
      <c r="E35" s="130">
        <v>0.7805477295698291</v>
      </c>
      <c r="F35" s="130">
        <v>-0.11147998578946565</v>
      </c>
      <c r="G35" s="215">
        <v>0.51004955071546976</v>
      </c>
      <c r="H35" s="216">
        <f>H34+0.0052</f>
        <v>0.21360000000000018</v>
      </c>
      <c r="J35" s="218">
        <v>0.3</v>
      </c>
      <c r="K35" s="243">
        <v>0.36563264579341126</v>
      </c>
      <c r="L35" s="244">
        <v>0.16161382530166674</v>
      </c>
    </row>
    <row r="36" spans="2:13" x14ac:dyDescent="0.2">
      <c r="B36" s="219">
        <v>8.6288434678825021E-2</v>
      </c>
      <c r="C36" s="220">
        <v>0.32791369040219137</v>
      </c>
      <c r="D36" s="220">
        <v>-2.8388928136811327E-2</v>
      </c>
      <c r="E36" s="220">
        <v>0.77243225946411553</v>
      </c>
      <c r="F36" s="220">
        <v>-0.15824545858837291</v>
      </c>
      <c r="G36" s="213">
        <v>0.51490518219221848</v>
      </c>
      <c r="H36" s="214">
        <f>H35+0.0052</f>
        <v>0.21880000000000019</v>
      </c>
      <c r="J36" s="219">
        <v>0.2</v>
      </c>
      <c r="K36" s="246">
        <v>0.41786588090675575</v>
      </c>
      <c r="L36" s="245">
        <v>0.18184437177333346</v>
      </c>
    </row>
    <row r="37" spans="2:13" ht="17" thickBot="1" x14ac:dyDescent="0.25">
      <c r="B37" s="218">
        <v>9.9863955839087068E-2</v>
      </c>
      <c r="C37" s="130">
        <v>0.38770855098325263</v>
      </c>
      <c r="D37" s="130">
        <v>-4.6877922538753607E-2</v>
      </c>
      <c r="E37" s="130">
        <v>0.76431626072364645</v>
      </c>
      <c r="F37" s="130">
        <v>-0.20501084459213789</v>
      </c>
      <c r="G37" s="215">
        <v>0.52707754179425037</v>
      </c>
      <c r="H37" s="216">
        <f>H36+0.0052</f>
        <v>0.2240000000000002</v>
      </c>
      <c r="J37" s="218">
        <v>0.1</v>
      </c>
      <c r="K37" s="243">
        <v>0.47009911602010024</v>
      </c>
      <c r="L37" s="244">
        <v>0.20207491824500012</v>
      </c>
    </row>
    <row r="38" spans="2:13" ht="17" thickBot="1" x14ac:dyDescent="0.25">
      <c r="B38" s="221">
        <v>0.11596918387111521</v>
      </c>
      <c r="C38" s="222">
        <v>0.44728556110809076</v>
      </c>
      <c r="D38" s="222">
        <v>-6.4749746123662008E-2</v>
      </c>
      <c r="E38" s="222">
        <v>0.75344707073228634</v>
      </c>
      <c r="F38" s="222">
        <v>-0.25195206908633788</v>
      </c>
      <c r="G38" s="213">
        <v>0.54607905226097697</v>
      </c>
      <c r="H38" s="214">
        <f>H37+0.0052</f>
        <v>0.22920000000000021</v>
      </c>
      <c r="J38" s="238">
        <v>0</v>
      </c>
      <c r="K38" s="242">
        <v>0.52233235113344467</v>
      </c>
      <c r="L38" s="241">
        <v>0.22230546471666679</v>
      </c>
      <c r="M38" s="42" t="s">
        <v>129</v>
      </c>
    </row>
    <row r="39" spans="2:13" x14ac:dyDescent="0.2">
      <c r="B39" s="218">
        <v>0.12701510893212986</v>
      </c>
      <c r="C39" s="130">
        <v>0.50730049686204925</v>
      </c>
      <c r="D39" s="130">
        <v>-8.3856802911033229E-2</v>
      </c>
      <c r="E39" s="130">
        <v>0.74808518071420571</v>
      </c>
      <c r="F39" s="130">
        <v>-0.29854398037162316</v>
      </c>
      <c r="G39" s="215">
        <v>0.57122558187391859</v>
      </c>
      <c r="H39" s="216">
        <f>H38+0.0052</f>
        <v>0.23440000000000022</v>
      </c>
      <c r="J39" s="218">
        <v>-0.1</v>
      </c>
      <c r="K39" s="243">
        <v>0.57456558624678922</v>
      </c>
      <c r="L39" s="244">
        <v>0.24253601118833348</v>
      </c>
    </row>
    <row r="40" spans="2:13" x14ac:dyDescent="0.2">
      <c r="B40" s="221">
        <v>0.13662135832018171</v>
      </c>
      <c r="C40" s="222">
        <v>0.56727984479394222</v>
      </c>
      <c r="D40" s="222">
        <v>-0.1029527230895104</v>
      </c>
      <c r="E40" s="222">
        <v>0.74440712706107404</v>
      </c>
      <c r="F40" s="222">
        <v>-0.34535560763800904</v>
      </c>
      <c r="G40" s="225">
        <v>0.601750881690996</v>
      </c>
      <c r="H40" s="214">
        <f>H39+0.0052</f>
        <v>0.23960000000000023</v>
      </c>
      <c r="J40" s="219">
        <v>-0.2</v>
      </c>
      <c r="K40" s="246">
        <v>0.62679882136013354</v>
      </c>
      <c r="L40" s="245">
        <v>0.26276655766000012</v>
      </c>
    </row>
    <row r="41" spans="2:13" x14ac:dyDescent="0.2">
      <c r="B41" s="218">
        <v>0.15416513988984898</v>
      </c>
      <c r="C41" s="130">
        <v>0.62688786316536771</v>
      </c>
      <c r="D41" s="130">
        <v>-0.12083413586133236</v>
      </c>
      <c r="E41" s="130">
        <v>0.73185362316689562</v>
      </c>
      <c r="F41" s="130">
        <v>-0.39207248927963917</v>
      </c>
      <c r="G41" s="215">
        <v>0.63687528242140767</v>
      </c>
      <c r="H41" s="216">
        <f>H40+0.0052</f>
        <v>0.24480000000000024</v>
      </c>
      <c r="J41" s="218">
        <v>-0.3</v>
      </c>
      <c r="K41" s="243">
        <v>0.67903205647347809</v>
      </c>
      <c r="L41" s="244">
        <v>0.28299710413166684</v>
      </c>
    </row>
    <row r="42" spans="2:13" ht="17" thickBot="1" x14ac:dyDescent="0.25">
      <c r="B42" s="223">
        <v>0.16773993705214266</v>
      </c>
      <c r="C42" s="224">
        <v>0.68668255254714949</v>
      </c>
      <c r="D42" s="224">
        <v>-0.13932319714848634</v>
      </c>
      <c r="E42" s="224">
        <v>0.72373878513604295</v>
      </c>
      <c r="F42" s="224">
        <v>-0.43883807757679705</v>
      </c>
      <c r="G42" s="227">
        <v>0.67588937048379116</v>
      </c>
      <c r="H42" s="237">
        <f>H41+0.0052</f>
        <v>0.25000000000000022</v>
      </c>
      <c r="J42" s="219">
        <v>-0.4</v>
      </c>
      <c r="K42" s="246">
        <v>0.73126529158682252</v>
      </c>
      <c r="L42" s="245">
        <v>0.30322765060333345</v>
      </c>
    </row>
    <row r="43" spans="2:13" x14ac:dyDescent="0.2">
      <c r="J43" s="218">
        <v>-0.5</v>
      </c>
      <c r="K43" s="243">
        <v>0.78349852670016706</v>
      </c>
      <c r="L43" s="244">
        <v>0.32345819707500018</v>
      </c>
    </row>
    <row r="44" spans="2:13" x14ac:dyDescent="0.2">
      <c r="J44" s="219">
        <v>-0.6</v>
      </c>
      <c r="K44" s="246">
        <v>0.8357317618135115</v>
      </c>
      <c r="L44" s="245">
        <v>0.3436887435466669</v>
      </c>
    </row>
    <row r="45" spans="2:13" x14ac:dyDescent="0.2">
      <c r="J45" s="218">
        <v>-0.7</v>
      </c>
      <c r="K45" s="243">
        <v>0.88796499692685593</v>
      </c>
      <c r="L45" s="244">
        <v>0.36391929001833351</v>
      </c>
    </row>
    <row r="46" spans="2:13" x14ac:dyDescent="0.2">
      <c r="J46" s="219">
        <v>-0.8</v>
      </c>
      <c r="K46" s="246">
        <v>0.94019823204020048</v>
      </c>
      <c r="L46" s="245">
        <v>0.38414983649000023</v>
      </c>
    </row>
    <row r="47" spans="2:13" x14ac:dyDescent="0.2">
      <c r="J47" s="218">
        <v>-0.9</v>
      </c>
      <c r="K47" s="243">
        <v>0.9924314671535448</v>
      </c>
      <c r="L47" s="244">
        <v>0.40438038296166684</v>
      </c>
    </row>
    <row r="48" spans="2:13" ht="17" thickBot="1" x14ac:dyDescent="0.25">
      <c r="J48" s="235">
        <v>-1</v>
      </c>
      <c r="K48" s="248">
        <v>1.0446647022668893</v>
      </c>
      <c r="L48" s="247">
        <v>0.42461092943333356</v>
      </c>
    </row>
    <row r="63" spans="9:15" x14ac:dyDescent="0.2">
      <c r="M63" s="7"/>
      <c r="N63" s="7"/>
      <c r="O63" s="7"/>
    </row>
    <row r="64" spans="9:15" x14ac:dyDescent="0.2">
      <c r="I64" s="2"/>
      <c r="M64" s="7"/>
      <c r="N64" s="7"/>
      <c r="O64" s="7"/>
    </row>
    <row r="65" spans="9:15" x14ac:dyDescent="0.2">
      <c r="I65" s="2"/>
      <c r="M65" s="7"/>
      <c r="N65" s="7"/>
      <c r="O65" s="7"/>
    </row>
    <row r="66" spans="9:15" x14ac:dyDescent="0.2">
      <c r="I66" s="2"/>
      <c r="M66" s="7"/>
      <c r="N66" s="7"/>
      <c r="O66" s="7"/>
    </row>
    <row r="67" spans="9:15" x14ac:dyDescent="0.2">
      <c r="M67" s="7"/>
      <c r="N67" s="7"/>
      <c r="O67" s="7"/>
    </row>
    <row r="68" spans="9:15" x14ac:dyDescent="0.2">
      <c r="M68" s="7"/>
      <c r="N68" s="7"/>
      <c r="O68" s="7"/>
    </row>
    <row r="69" spans="9:15" x14ac:dyDescent="0.2">
      <c r="M69" s="7"/>
      <c r="N69" s="7"/>
      <c r="O69" s="7"/>
    </row>
    <row r="70" spans="9:15" x14ac:dyDescent="0.2">
      <c r="M70" s="7"/>
      <c r="N70" s="7"/>
      <c r="O70" s="7"/>
    </row>
    <row r="71" spans="9:15" x14ac:dyDescent="0.2">
      <c r="M71" s="7"/>
      <c r="N71" s="7"/>
      <c r="O71" s="7"/>
    </row>
    <row r="72" spans="9:15" x14ac:dyDescent="0.2">
      <c r="M72" s="7"/>
      <c r="N72" s="7"/>
      <c r="O72" s="7"/>
    </row>
    <row r="73" spans="9:15" x14ac:dyDescent="0.2">
      <c r="M73" s="7"/>
      <c r="N73" s="7"/>
      <c r="O73" s="7"/>
    </row>
    <row r="74" spans="9:15" x14ac:dyDescent="0.2">
      <c r="M74" s="7"/>
      <c r="N74" s="7"/>
      <c r="O74" s="7"/>
    </row>
    <row r="75" spans="9:15" x14ac:dyDescent="0.2">
      <c r="M75" s="7"/>
      <c r="N75" s="7"/>
      <c r="O75" s="7"/>
    </row>
    <row r="76" spans="9:15" x14ac:dyDescent="0.2">
      <c r="M76" s="7"/>
      <c r="N76" s="7"/>
      <c r="O76" s="7"/>
    </row>
    <row r="77" spans="9:15" x14ac:dyDescent="0.2">
      <c r="M77" s="7"/>
      <c r="N77" s="7"/>
      <c r="O77" s="7"/>
    </row>
    <row r="78" spans="9:15" x14ac:dyDescent="0.2">
      <c r="M78" s="7"/>
      <c r="N78" s="7"/>
      <c r="O78" s="7"/>
    </row>
    <row r="79" spans="9:15" x14ac:dyDescent="0.2">
      <c r="M79" s="7"/>
      <c r="N79" s="7"/>
      <c r="O79" s="7"/>
    </row>
    <row r="80" spans="9:15" x14ac:dyDescent="0.2">
      <c r="M80" s="7"/>
      <c r="N80" s="7"/>
      <c r="O80" s="7"/>
    </row>
  </sheetData>
  <mergeCells count="3">
    <mergeCell ref="J13:L13"/>
    <mergeCell ref="J24:L24"/>
    <mergeCell ref="B24:H24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BB70E-2EE6-EF47-AC1C-4552A2BCE5DB}">
  <dimension ref="A1:AH66"/>
  <sheetViews>
    <sheetView showGridLines="0" tabSelected="1" topLeftCell="W1" zoomScale="110" zoomScaleNormal="110" workbookViewId="0">
      <selection activeCell="AA10" sqref="AA10"/>
    </sheetView>
  </sheetViews>
  <sheetFormatPr baseColWidth="10" defaultRowHeight="16" x14ac:dyDescent="0.2"/>
  <cols>
    <col min="1" max="2" width="15.83203125" bestFit="1" customWidth="1"/>
    <col min="3" max="3" width="14.83203125" bestFit="1" customWidth="1"/>
    <col min="4" max="5" width="13.1640625" bestFit="1" customWidth="1"/>
    <col min="8" max="8" width="11.6640625" bestFit="1" customWidth="1"/>
    <col min="9" max="9" width="12.1640625" customWidth="1"/>
    <col min="10" max="10" width="10.5" customWidth="1"/>
    <col min="17" max="17" width="17.5" bestFit="1" customWidth="1"/>
    <col min="18" max="18" width="12.6640625" bestFit="1" customWidth="1"/>
    <col min="19" max="19" width="14.5" bestFit="1" customWidth="1"/>
  </cols>
  <sheetData>
    <row r="1" spans="1:34" ht="20" thickBot="1" x14ac:dyDescent="0.3">
      <c r="A1" s="13" t="s">
        <v>47</v>
      </c>
      <c r="Q1" s="13" t="s">
        <v>47</v>
      </c>
    </row>
    <row r="2" spans="1:34" ht="17" thickBot="1" x14ac:dyDescent="0.25">
      <c r="A2" s="49" t="s">
        <v>41</v>
      </c>
      <c r="B2" s="40" t="s">
        <v>3</v>
      </c>
      <c r="C2" s="41" t="s">
        <v>6</v>
      </c>
      <c r="D2" s="41" t="s">
        <v>10</v>
      </c>
      <c r="E2" s="41" t="s">
        <v>13</v>
      </c>
      <c r="F2" s="42" t="s">
        <v>16</v>
      </c>
      <c r="Q2" s="252" t="s">
        <v>41</v>
      </c>
      <c r="R2" s="253" t="s">
        <v>3</v>
      </c>
      <c r="S2" s="254" t="s">
        <v>6</v>
      </c>
      <c r="T2" s="254" t="s">
        <v>10</v>
      </c>
      <c r="U2" s="254" t="s">
        <v>13</v>
      </c>
      <c r="V2" s="255" t="s">
        <v>16</v>
      </c>
      <c r="X2" s="272" t="s">
        <v>136</v>
      </c>
      <c r="Y2" s="195"/>
      <c r="Z2" s="195"/>
      <c r="AA2" s="195"/>
      <c r="AB2" s="195"/>
      <c r="AC2" s="195"/>
      <c r="AD2" s="195"/>
      <c r="AE2" s="195"/>
      <c r="AF2" s="195"/>
      <c r="AG2" s="195"/>
      <c r="AH2" s="197"/>
    </row>
    <row r="3" spans="1:34" ht="17" thickBot="1" x14ac:dyDescent="0.25">
      <c r="A3" s="122" t="s">
        <v>37</v>
      </c>
      <c r="B3" s="125">
        <v>0.20446343472257486</v>
      </c>
      <c r="C3" s="126">
        <v>0.23334839587811365</v>
      </c>
      <c r="D3" s="126">
        <v>0.16684767731577851</v>
      </c>
      <c r="E3" s="126">
        <v>0.19746111940972205</v>
      </c>
      <c r="F3" s="127">
        <v>0.14628966308227639</v>
      </c>
      <c r="G3" s="12"/>
      <c r="H3" s="12"/>
      <c r="Q3" s="122" t="s">
        <v>37</v>
      </c>
      <c r="R3" s="125">
        <v>0.20446343472257486</v>
      </c>
      <c r="S3" s="126">
        <v>0.23334839587811365</v>
      </c>
      <c r="T3" s="126">
        <v>0.16684767731577851</v>
      </c>
      <c r="U3" s="126">
        <v>0.19746111940972205</v>
      </c>
      <c r="V3" s="127">
        <v>0.14628966308227639</v>
      </c>
      <c r="X3" s="273" t="s">
        <v>135</v>
      </c>
      <c r="Y3" s="200"/>
      <c r="Z3" s="200"/>
      <c r="AA3" s="200"/>
      <c r="AB3" s="200"/>
      <c r="AC3" s="200"/>
      <c r="AD3" s="200"/>
      <c r="AE3" s="200"/>
      <c r="AF3" s="200"/>
      <c r="AG3" s="200"/>
      <c r="AH3" s="202"/>
    </row>
    <row r="4" spans="1:34" ht="17" thickBot="1" x14ac:dyDescent="0.25">
      <c r="A4" s="122" t="s">
        <v>38</v>
      </c>
      <c r="B4" s="128">
        <v>0.68201674476823382</v>
      </c>
      <c r="C4" s="128">
        <v>0.72706759541598098</v>
      </c>
      <c r="D4" s="128">
        <v>1.1893405588011026</v>
      </c>
      <c r="E4" s="128">
        <v>0.5487850777994232</v>
      </c>
      <c r="F4" s="129">
        <v>1.132448355308022</v>
      </c>
      <c r="Q4" s="122" t="s">
        <v>38</v>
      </c>
      <c r="R4" s="128">
        <v>0.68201674476823382</v>
      </c>
      <c r="S4" s="128">
        <v>0.72706759541598098</v>
      </c>
      <c r="T4" s="128">
        <v>1.1893405588011026</v>
      </c>
      <c r="U4" s="128">
        <v>0.5487850777994232</v>
      </c>
      <c r="V4" s="129">
        <v>1.132448355308022</v>
      </c>
      <c r="X4" s="274" t="s">
        <v>138</v>
      </c>
      <c r="Y4" s="205"/>
      <c r="Z4" s="205"/>
      <c r="AA4" s="205"/>
      <c r="AB4" s="205"/>
      <c r="AC4" s="205"/>
      <c r="AD4" s="205"/>
      <c r="AE4" s="205"/>
      <c r="AF4" s="205"/>
      <c r="AG4" s="205"/>
      <c r="AH4" s="206"/>
    </row>
    <row r="5" spans="1:34" ht="17" thickBot="1" x14ac:dyDescent="0.25">
      <c r="X5" s="273" t="s">
        <v>137</v>
      </c>
      <c r="Y5" s="200"/>
      <c r="Z5" s="200"/>
      <c r="AA5" s="200"/>
      <c r="AB5" s="200"/>
      <c r="AC5" s="200"/>
      <c r="AD5" s="200"/>
      <c r="AE5" s="200"/>
      <c r="AF5" s="200"/>
      <c r="AG5" s="200"/>
      <c r="AH5" s="202"/>
    </row>
    <row r="6" spans="1:34" ht="17" thickBot="1" x14ac:dyDescent="0.25">
      <c r="A6" s="119" t="s">
        <v>40</v>
      </c>
      <c r="B6" s="41" t="s">
        <v>3</v>
      </c>
      <c r="C6" s="41" t="s">
        <v>6</v>
      </c>
      <c r="D6" s="41" t="s">
        <v>10</v>
      </c>
      <c r="E6" s="41" t="s">
        <v>13</v>
      </c>
      <c r="F6" s="42" t="s">
        <v>16</v>
      </c>
      <c r="Q6" s="119" t="s">
        <v>40</v>
      </c>
      <c r="R6" s="254" t="s">
        <v>3</v>
      </c>
      <c r="S6" s="254" t="s">
        <v>6</v>
      </c>
      <c r="T6" s="254" t="s">
        <v>10</v>
      </c>
      <c r="U6" s="254" t="s">
        <v>13</v>
      </c>
      <c r="V6" s="255" t="s">
        <v>16</v>
      </c>
      <c r="X6" s="274" t="s">
        <v>139</v>
      </c>
      <c r="Y6" s="205"/>
      <c r="Z6" s="205"/>
      <c r="AA6" s="205"/>
      <c r="AB6" s="205"/>
      <c r="AC6" s="205"/>
      <c r="AD6" s="205"/>
      <c r="AE6" s="205"/>
      <c r="AF6" s="205"/>
      <c r="AG6" s="205"/>
      <c r="AH6" s="206"/>
    </row>
    <row r="7" spans="1:34" x14ac:dyDescent="0.2">
      <c r="A7" s="77" t="s">
        <v>3</v>
      </c>
      <c r="B7" s="98"/>
      <c r="C7" s="98"/>
      <c r="D7" s="98"/>
      <c r="E7" s="98"/>
      <c r="F7" s="99"/>
      <c r="Q7" s="256" t="s">
        <v>3</v>
      </c>
      <c r="R7" s="98"/>
      <c r="S7" s="98"/>
      <c r="T7" s="98"/>
      <c r="U7" s="98"/>
      <c r="V7" s="99"/>
      <c r="X7" s="273" t="s">
        <v>140</v>
      </c>
      <c r="Y7" s="200"/>
      <c r="Z7" s="200"/>
      <c r="AA7" s="200"/>
      <c r="AB7" s="200"/>
      <c r="AC7" s="200"/>
      <c r="AD7" s="200"/>
      <c r="AE7" s="200"/>
      <c r="AF7" s="200"/>
      <c r="AG7" s="200"/>
      <c r="AH7" s="202"/>
    </row>
    <row r="8" spans="1:34" x14ac:dyDescent="0.2">
      <c r="A8" s="96" t="s">
        <v>6</v>
      </c>
      <c r="B8" s="142">
        <v>0.44584696114245531</v>
      </c>
      <c r="C8" s="130"/>
      <c r="D8" s="130"/>
      <c r="E8" s="130"/>
      <c r="F8" s="131"/>
      <c r="Q8" s="257" t="s">
        <v>6</v>
      </c>
      <c r="R8" s="142">
        <v>0.44584696114245531</v>
      </c>
      <c r="S8" s="130"/>
      <c r="T8" s="130"/>
      <c r="U8" s="130"/>
      <c r="V8" s="131"/>
      <c r="X8" s="274" t="s">
        <v>141</v>
      </c>
      <c r="Y8" s="205"/>
      <c r="Z8" s="205"/>
      <c r="AA8" s="205"/>
      <c r="AB8" s="205"/>
      <c r="AC8" s="205"/>
      <c r="AD8" s="205"/>
      <c r="AE8" s="205"/>
      <c r="AF8" s="205"/>
      <c r="AG8" s="205"/>
      <c r="AH8" s="206"/>
    </row>
    <row r="9" spans="1:34" ht="17" thickBot="1" x14ac:dyDescent="0.25">
      <c r="A9" s="96" t="s">
        <v>10</v>
      </c>
      <c r="B9" s="134">
        <v>0.35497629399925862</v>
      </c>
      <c r="C9" s="143">
        <v>0.22688064095434041</v>
      </c>
      <c r="D9" s="130"/>
      <c r="E9" s="130"/>
      <c r="F9" s="131"/>
      <c r="Q9" s="257" t="s">
        <v>10</v>
      </c>
      <c r="R9" s="134">
        <v>0.35497629399925862</v>
      </c>
      <c r="S9" s="143">
        <v>0.22688064095434041</v>
      </c>
      <c r="T9" s="130"/>
      <c r="U9" s="130"/>
      <c r="V9" s="131"/>
      <c r="X9" s="275" t="s">
        <v>142</v>
      </c>
      <c r="Y9" s="209"/>
      <c r="Z9" s="209"/>
      <c r="AA9" s="209"/>
      <c r="AB9" s="209"/>
      <c r="AC9" s="209"/>
      <c r="AD9" s="209"/>
      <c r="AE9" s="209"/>
      <c r="AF9" s="209"/>
      <c r="AG9" s="209"/>
      <c r="AH9" s="210"/>
    </row>
    <row r="10" spans="1:34" x14ac:dyDescent="0.2">
      <c r="A10" s="96" t="s">
        <v>13</v>
      </c>
      <c r="B10" s="134">
        <v>0.72679126305977282</v>
      </c>
      <c r="C10" s="134">
        <v>0.45133912408488125</v>
      </c>
      <c r="D10" s="143">
        <v>0.49693986258979944</v>
      </c>
      <c r="E10" s="130"/>
      <c r="F10" s="131"/>
      <c r="Q10" s="257" t="s">
        <v>13</v>
      </c>
      <c r="R10" s="134">
        <v>0.72679126305977282</v>
      </c>
      <c r="S10" s="134">
        <v>0.45133912408488125</v>
      </c>
      <c r="T10" s="143">
        <v>0.49693986258979944</v>
      </c>
      <c r="U10" s="130"/>
      <c r="V10" s="131"/>
    </row>
    <row r="11" spans="1:34" ht="17" thickBot="1" x14ac:dyDescent="0.25">
      <c r="A11" s="97" t="s">
        <v>16</v>
      </c>
      <c r="B11" s="135">
        <v>0.50420117918045604</v>
      </c>
      <c r="C11" s="135">
        <v>0.37205144937814844</v>
      </c>
      <c r="D11" s="135">
        <v>0.39850435248415911</v>
      </c>
      <c r="E11" s="144">
        <v>0.59929139041462265</v>
      </c>
      <c r="F11" s="132"/>
      <c r="Q11" s="258" t="s">
        <v>16</v>
      </c>
      <c r="R11" s="135">
        <v>0.50420117918045604</v>
      </c>
      <c r="S11" s="135">
        <v>0.37205144937814844</v>
      </c>
      <c r="T11" s="135">
        <v>0.39850435248415911</v>
      </c>
      <c r="U11" s="144">
        <v>0.59929139041462265</v>
      </c>
      <c r="V11" s="132"/>
    </row>
    <row r="13" spans="1:34" ht="20" thickBot="1" x14ac:dyDescent="0.3">
      <c r="A13" s="13" t="s">
        <v>43</v>
      </c>
      <c r="J13" s="13" t="s">
        <v>130</v>
      </c>
      <c r="Q13" s="13" t="s">
        <v>43</v>
      </c>
      <c r="Z13" s="13" t="s">
        <v>130</v>
      </c>
    </row>
    <row r="14" spans="1:34" ht="17" thickBot="1" x14ac:dyDescent="0.25">
      <c r="A14" s="49" t="s">
        <v>41</v>
      </c>
      <c r="B14" s="40" t="s">
        <v>3</v>
      </c>
      <c r="C14" s="41" t="s">
        <v>6</v>
      </c>
      <c r="D14" s="41" t="s">
        <v>10</v>
      </c>
      <c r="E14" s="41" t="s">
        <v>13</v>
      </c>
      <c r="F14" s="42" t="s">
        <v>16</v>
      </c>
      <c r="H14" s="49" t="s">
        <v>41</v>
      </c>
      <c r="I14" s="40" t="s">
        <v>3</v>
      </c>
      <c r="J14" s="41" t="s">
        <v>6</v>
      </c>
      <c r="K14" s="41" t="s">
        <v>10</v>
      </c>
      <c r="L14" s="41" t="s">
        <v>13</v>
      </c>
      <c r="M14" s="42" t="s">
        <v>16</v>
      </c>
      <c r="N14" s="40" t="s">
        <v>38</v>
      </c>
      <c r="O14" s="49" t="s">
        <v>60</v>
      </c>
      <c r="Q14" s="252" t="s">
        <v>41</v>
      </c>
      <c r="R14" s="253" t="s">
        <v>3</v>
      </c>
      <c r="S14" s="254" t="s">
        <v>6</v>
      </c>
      <c r="T14" s="254" t="s">
        <v>10</v>
      </c>
      <c r="U14" s="254" t="s">
        <v>13</v>
      </c>
      <c r="V14" s="255" t="s">
        <v>16</v>
      </c>
      <c r="X14" s="252" t="s">
        <v>41</v>
      </c>
      <c r="Y14" s="253" t="s">
        <v>3</v>
      </c>
      <c r="Z14" s="254" t="s">
        <v>6</v>
      </c>
      <c r="AA14" s="254" t="s">
        <v>10</v>
      </c>
      <c r="AB14" s="254" t="s">
        <v>13</v>
      </c>
      <c r="AC14" s="255" t="s">
        <v>16</v>
      </c>
      <c r="AD14" s="253" t="s">
        <v>38</v>
      </c>
      <c r="AE14" s="252" t="s">
        <v>60</v>
      </c>
    </row>
    <row r="15" spans="1:34" ht="17" thickBot="1" x14ac:dyDescent="0.25">
      <c r="A15" s="152" t="s">
        <v>42</v>
      </c>
      <c r="B15" s="153">
        <v>0.16773993705214266</v>
      </c>
      <c r="C15" s="153">
        <v>0.68668255254714949</v>
      </c>
      <c r="D15" s="153">
        <v>-0.13932319714848634</v>
      </c>
      <c r="E15" s="153">
        <v>0.72373878513604295</v>
      </c>
      <c r="F15" s="154">
        <v>-0.43883807757679705</v>
      </c>
      <c r="G15" s="11"/>
      <c r="H15" s="152" t="s">
        <v>42</v>
      </c>
      <c r="I15" s="153">
        <v>-0.17164053198305171</v>
      </c>
      <c r="J15" s="153">
        <v>-0.80818789448598405</v>
      </c>
      <c r="K15" s="153">
        <v>0.32290291123830195</v>
      </c>
      <c r="L15" s="153">
        <v>0.92662764578576096</v>
      </c>
      <c r="M15" s="154">
        <v>0.73029786944497266</v>
      </c>
      <c r="N15" s="125">
        <v>0.50996928034969369</v>
      </c>
      <c r="O15" s="180">
        <v>0.21284195524730637</v>
      </c>
      <c r="Q15" s="152" t="s">
        <v>42</v>
      </c>
      <c r="R15" s="133">
        <v>5.2211931539707948E-2</v>
      </c>
      <c r="S15" s="133">
        <v>0.25002559570482003</v>
      </c>
      <c r="T15" s="133">
        <v>0</v>
      </c>
      <c r="U15" s="133">
        <v>0.69776346923415944</v>
      </c>
      <c r="V15" s="266">
        <v>0</v>
      </c>
      <c r="X15" s="152" t="s">
        <v>42</v>
      </c>
      <c r="Y15" s="153">
        <v>5.2211931539707948E-2</v>
      </c>
      <c r="Z15" s="153">
        <v>0.25002559570482003</v>
      </c>
      <c r="AA15" s="153">
        <v>0</v>
      </c>
      <c r="AB15" s="153">
        <v>0.69776346923415944</v>
      </c>
      <c r="AC15" s="154">
        <v>0</v>
      </c>
      <c r="AD15" s="249">
        <v>0.51900988490219147</v>
      </c>
      <c r="AE15" s="250">
        <v>0.20679965826048644</v>
      </c>
    </row>
    <row r="17" spans="1:24" ht="20" thickBot="1" x14ac:dyDescent="0.3">
      <c r="A17" s="13" t="s">
        <v>44</v>
      </c>
      <c r="Q17" s="13" t="s">
        <v>44</v>
      </c>
    </row>
    <row r="18" spans="1:24" ht="17" thickBot="1" x14ac:dyDescent="0.25">
      <c r="A18" s="136" t="s">
        <v>45</v>
      </c>
      <c r="B18" s="137">
        <f>SQRT(B15^2*B4^2+C15^2*C4^2+D15^2*D4+E15^2*E4^2+F15^2*F4^2+2*B8*B15*C15*B4*C4+2*B9*B15*D15*B4*D4+2*B10*B15*E15*B4*E4+2*B11*B15*F15*B4*F4+2*C9*C15*D15*C4*D4+2*C10*C15*E15*C4*E4+2*C11*C15*F15*C4*F4+2*D10*D15*E15*D4*E4+2*D11*D15*F15*D4*F4+2*E11*E15*F15*E4*F4)</f>
        <v>0.67588937048379116</v>
      </c>
      <c r="Q18" s="136" t="s">
        <v>45</v>
      </c>
      <c r="R18" s="137">
        <f>SQRT(R15^2*R4^2+S15^2*S4^2+T15^2*T4+U15^2*U4^2+V15^2*V4^2+2*R8*R15*S15*R4*S4+2*R9*R15*T15*R4*T4+2*R10*R15*U15*R4*U4+2*R11*R15*V15*R4*V4+2*S9*S15*T15*S4*T4+2*S10*S15*U15*S4*U4+2*S11*S15*V15*S4*V4+2*T10*T15*U15*T4*U4+2*T11*T15*V15*T4*V4+2*U11*U15*V15*U4*V4)</f>
        <v>0.51900988490219147</v>
      </c>
    </row>
    <row r="20" spans="1:24" ht="20" thickBot="1" x14ac:dyDescent="0.3">
      <c r="A20" s="13" t="s">
        <v>46</v>
      </c>
      <c r="Q20" s="13" t="s">
        <v>46</v>
      </c>
    </row>
    <row r="21" spans="1:24" ht="17" thickBot="1" x14ac:dyDescent="0.25">
      <c r="A21" s="151"/>
      <c r="B21" s="40" t="s">
        <v>58</v>
      </c>
      <c r="C21" s="49" t="s">
        <v>50</v>
      </c>
      <c r="Q21" s="151"/>
      <c r="R21" s="253" t="s">
        <v>58</v>
      </c>
      <c r="S21" s="252" t="s">
        <v>50</v>
      </c>
      <c r="U21" s="252" t="s">
        <v>133</v>
      </c>
    </row>
    <row r="22" spans="1:24" ht="17" thickBot="1" x14ac:dyDescent="0.25">
      <c r="A22" s="40" t="s">
        <v>48</v>
      </c>
      <c r="B22" s="138">
        <f>SUMPRODUCT(B3:F3,B15:F15)</f>
        <v>0.25000000010057394</v>
      </c>
      <c r="C22" s="141">
        <f>H52</f>
        <v>0.25000000000000022</v>
      </c>
      <c r="Q22" s="253" t="s">
        <v>48</v>
      </c>
      <c r="R22" s="125">
        <f>SUMPRODUCT(R3:V3,R15:V15)</f>
        <v>0.20679965826048644</v>
      </c>
      <c r="S22" s="267">
        <f>X36</f>
        <v>0.19280000000000014</v>
      </c>
      <c r="U22" s="141">
        <v>0</v>
      </c>
    </row>
    <row r="23" spans="1:24" ht="17" thickBot="1" x14ac:dyDescent="0.25">
      <c r="A23" s="40" t="s">
        <v>49</v>
      </c>
      <c r="B23" s="139">
        <f>SUM(B15:F15)</f>
        <v>1.0000000000100515</v>
      </c>
      <c r="C23" s="84">
        <v>1</v>
      </c>
      <c r="Q23" s="253" t="s">
        <v>49</v>
      </c>
      <c r="R23" s="139">
        <f>SUM(R15:V15)</f>
        <v>1.0000009964786873</v>
      </c>
      <c r="S23" s="84">
        <v>1</v>
      </c>
    </row>
    <row r="24" spans="1:24" ht="17" thickBot="1" x14ac:dyDescent="0.25">
      <c r="F24" t="s">
        <v>59</v>
      </c>
      <c r="T24" t="s">
        <v>132</v>
      </c>
    </row>
    <row r="25" spans="1:24" x14ac:dyDescent="0.2">
      <c r="B25" s="66" t="s">
        <v>3</v>
      </c>
      <c r="C25" s="67" t="s">
        <v>6</v>
      </c>
      <c r="D25" s="67" t="s">
        <v>10</v>
      </c>
      <c r="E25" s="67" t="s">
        <v>13</v>
      </c>
      <c r="F25" s="67" t="s">
        <v>16</v>
      </c>
      <c r="G25" s="251" t="s">
        <v>131</v>
      </c>
      <c r="H25" s="36">
        <f>(0.25-0.12)/25</f>
        <v>5.1999999999999998E-3</v>
      </c>
      <c r="R25" s="259" t="s">
        <v>3</v>
      </c>
      <c r="S25" s="260" t="s">
        <v>6</v>
      </c>
      <c r="T25" s="260" t="s">
        <v>10</v>
      </c>
      <c r="U25" s="260" t="s">
        <v>13</v>
      </c>
      <c r="V25" s="260" t="s">
        <v>16</v>
      </c>
      <c r="W25" s="261" t="s">
        <v>131</v>
      </c>
      <c r="X25" s="262">
        <f>(0.25-0.12)/25</f>
        <v>5.1999999999999998E-3</v>
      </c>
    </row>
    <row r="26" spans="1:24" ht="52" thickBot="1" x14ac:dyDescent="0.25">
      <c r="B26" s="111" t="s">
        <v>51</v>
      </c>
      <c r="C26" s="95" t="s">
        <v>52</v>
      </c>
      <c r="D26" s="95" t="s">
        <v>53</v>
      </c>
      <c r="E26" s="95" t="s">
        <v>54</v>
      </c>
      <c r="F26" s="95" t="s">
        <v>55</v>
      </c>
      <c r="G26" s="111" t="s">
        <v>38</v>
      </c>
      <c r="H26" s="114" t="s">
        <v>56</v>
      </c>
      <c r="R26" s="263" t="s">
        <v>51</v>
      </c>
      <c r="S26" s="264" t="s">
        <v>52</v>
      </c>
      <c r="T26" s="264" t="s">
        <v>53</v>
      </c>
      <c r="U26" s="264" t="s">
        <v>54</v>
      </c>
      <c r="V26" s="264" t="s">
        <v>55</v>
      </c>
      <c r="W26" s="263" t="s">
        <v>38</v>
      </c>
      <c r="X26" s="265" t="s">
        <v>56</v>
      </c>
    </row>
    <row r="27" spans="1:24" x14ac:dyDescent="0.2">
      <c r="B27" s="218">
        <v>-0.17164053198305171</v>
      </c>
      <c r="C27" s="130">
        <v>-0.80818789448598405</v>
      </c>
      <c r="D27" s="130">
        <v>0.32290291123830195</v>
      </c>
      <c r="E27" s="130">
        <v>0.92662764578576096</v>
      </c>
      <c r="F27" s="130">
        <v>0.73029786944497266</v>
      </c>
      <c r="G27" s="211">
        <v>1.2199975510772945</v>
      </c>
      <c r="H27" s="212">
        <v>0.12</v>
      </c>
      <c r="R27" s="268">
        <v>0</v>
      </c>
      <c r="S27" s="269">
        <v>0</v>
      </c>
      <c r="T27" s="269">
        <v>0.18048128429698418</v>
      </c>
      <c r="U27" s="269">
        <v>0</v>
      </c>
      <c r="V27" s="269">
        <v>0.81951871960661826</v>
      </c>
      <c r="W27" s="270">
        <v>1.0289873581679383</v>
      </c>
      <c r="X27" s="271">
        <v>0.15000000046479123</v>
      </c>
    </row>
    <row r="28" spans="1:24" x14ac:dyDescent="0.2">
      <c r="B28" s="219">
        <v>-0.15806505765937298</v>
      </c>
      <c r="C28" s="220">
        <v>-0.74839291687181497</v>
      </c>
      <c r="D28" s="220">
        <v>0.30441389891114495</v>
      </c>
      <c r="E28" s="220">
        <v>0.91851150122042191</v>
      </c>
      <c r="F28" s="220">
        <v>0.68353257456301975</v>
      </c>
      <c r="G28" s="213">
        <v>1.163895324860325</v>
      </c>
      <c r="H28" s="214">
        <f>H27+$H$25</f>
        <v>0.12520000000000001</v>
      </c>
      <c r="R28" s="218">
        <v>0</v>
      </c>
      <c r="S28" s="130">
        <v>0</v>
      </c>
      <c r="T28" s="130">
        <v>0.32751839272543232</v>
      </c>
      <c r="U28" s="130">
        <v>3.863887654414716E-2</v>
      </c>
      <c r="V28" s="130">
        <v>0.63384272584432866</v>
      </c>
      <c r="W28" s="215">
        <v>0.94475118947076508</v>
      </c>
      <c r="X28" s="216">
        <v>0.15499999773049522</v>
      </c>
    </row>
    <row r="29" spans="1:24" x14ac:dyDescent="0.2">
      <c r="B29" s="218">
        <v>-0.14449047362057249</v>
      </c>
      <c r="C29" s="130">
        <v>-0.68859789024123608</v>
      </c>
      <c r="D29" s="130">
        <v>0.2859246299124108</v>
      </c>
      <c r="E29" s="130">
        <v>0.9103964077806519</v>
      </c>
      <c r="F29" s="130">
        <v>0.63676732575245043</v>
      </c>
      <c r="G29" s="215">
        <v>1.1084300551894621</v>
      </c>
      <c r="H29" s="216">
        <f>H28+$H$25</f>
        <v>0.13040000000000002</v>
      </c>
      <c r="R29" s="219">
        <v>0</v>
      </c>
      <c r="S29" s="220">
        <v>0</v>
      </c>
      <c r="T29" s="220">
        <v>0.29130599168571158</v>
      </c>
      <c r="U29" s="220">
        <v>0.1508979154108766</v>
      </c>
      <c r="V29" s="220">
        <v>0.55779608139904546</v>
      </c>
      <c r="W29" s="213">
        <v>0.8788836240432002</v>
      </c>
      <c r="X29" s="214">
        <v>0.16000000021103611</v>
      </c>
    </row>
    <row r="30" spans="1:24" x14ac:dyDescent="0.2">
      <c r="B30" s="219">
        <v>-0.14286363225869275</v>
      </c>
      <c r="C30" s="220">
        <v>-0.62678743675358961</v>
      </c>
      <c r="D30" s="220">
        <v>0.26682451639957766</v>
      </c>
      <c r="E30" s="220">
        <v>0.91268051030926367</v>
      </c>
      <c r="F30" s="220">
        <v>0.59014604304990359</v>
      </c>
      <c r="G30" s="213">
        <v>1.0537167548544784</v>
      </c>
      <c r="H30" s="214">
        <f>H29+$H$25</f>
        <v>0.13560000000000003</v>
      </c>
      <c r="R30" s="218">
        <v>0</v>
      </c>
      <c r="S30" s="130">
        <v>0</v>
      </c>
      <c r="T30" s="130">
        <v>0.25509363782582856</v>
      </c>
      <c r="U30" s="130">
        <v>0.2631568625280844</v>
      </c>
      <c r="V30" s="130">
        <v>0.48174949049851368</v>
      </c>
      <c r="W30" s="215">
        <v>0.81595406973023477</v>
      </c>
      <c r="X30" s="216">
        <v>0.16500000027950368</v>
      </c>
    </row>
    <row r="31" spans="1:24" x14ac:dyDescent="0.2">
      <c r="B31" s="218">
        <v>-0.11733912209091979</v>
      </c>
      <c r="C31" s="130">
        <v>-0.56900725267821928</v>
      </c>
      <c r="D31" s="130">
        <v>0.24894624035687213</v>
      </c>
      <c r="E31" s="130">
        <v>0.89416531138935862</v>
      </c>
      <c r="F31" s="130">
        <v>0.54323482658736433</v>
      </c>
      <c r="G31" s="215">
        <v>0.99983194244662343</v>
      </c>
      <c r="H31" s="216">
        <f>H30+$H$25</f>
        <v>0.14080000000000004</v>
      </c>
      <c r="R31" s="219">
        <v>0</v>
      </c>
      <c r="S31" s="220">
        <v>0</v>
      </c>
      <c r="T31" s="220">
        <v>0.21888120577094519</v>
      </c>
      <c r="U31" s="220">
        <v>0.37541584098326036</v>
      </c>
      <c r="V31" s="220">
        <v>0.40570294696980808</v>
      </c>
      <c r="W31" s="213">
        <v>0.75669581488222759</v>
      </c>
      <c r="X31" s="214">
        <v>0.17000000041935587</v>
      </c>
    </row>
    <row r="32" spans="1:24" x14ac:dyDescent="0.2">
      <c r="B32" s="219">
        <v>-0.10376497146963724</v>
      </c>
      <c r="C32" s="220">
        <v>-0.5092121156721392</v>
      </c>
      <c r="D32" s="220">
        <v>0.23045692725572872</v>
      </c>
      <c r="E32" s="220">
        <v>0.88605064392504107</v>
      </c>
      <c r="F32" s="220">
        <v>0.49646951691866054</v>
      </c>
      <c r="G32" s="213">
        <v>0.94696812152481213</v>
      </c>
      <c r="H32" s="214">
        <f>H31+$H$25</f>
        <v>0.14600000000000005</v>
      </c>
      <c r="R32" s="218">
        <v>0</v>
      </c>
      <c r="S32" s="130">
        <v>0</v>
      </c>
      <c r="T32" s="130">
        <v>0.18266883434378478</v>
      </c>
      <c r="U32" s="130">
        <v>0.48767478009013154</v>
      </c>
      <c r="V32" s="130">
        <v>0.32965638320393575</v>
      </c>
      <c r="W32" s="215">
        <v>0.70203915366862701</v>
      </c>
      <c r="X32" s="216">
        <v>0.17499999994455417</v>
      </c>
    </row>
    <row r="33" spans="2:26" x14ac:dyDescent="0.2">
      <c r="B33" s="218">
        <v>-9.0188852064444366E-2</v>
      </c>
      <c r="C33" s="130">
        <v>-0.44941705039424518</v>
      </c>
      <c r="D33" s="130">
        <v>0.21196824725787092</v>
      </c>
      <c r="E33" s="130">
        <v>0.87793360718395308</v>
      </c>
      <c r="F33" s="130">
        <v>0.44970404774422418</v>
      </c>
      <c r="G33" s="215">
        <v>0.89528762738647083</v>
      </c>
      <c r="H33" s="216">
        <f>H32+$H$25</f>
        <v>0.15120000000000006</v>
      </c>
      <c r="R33" s="219">
        <v>0</v>
      </c>
      <c r="S33" s="220">
        <v>0</v>
      </c>
      <c r="T33" s="220">
        <v>0.14645637133430214</v>
      </c>
      <c r="U33" s="220">
        <v>0.59993378411297982</v>
      </c>
      <c r="V33" s="220">
        <v>0.25360983888922245</v>
      </c>
      <c r="W33" s="213">
        <v>0.65314030015308366</v>
      </c>
      <c r="X33" s="214">
        <v>0.17999999985333975</v>
      </c>
    </row>
    <row r="34" spans="2:26" x14ac:dyDescent="0.2">
      <c r="B34" s="219">
        <v>-8.8902186508434622E-2</v>
      </c>
      <c r="C34" s="220">
        <v>-0.3875085723561994</v>
      </c>
      <c r="D34" s="220">
        <v>0.19287462642951272</v>
      </c>
      <c r="E34" s="220">
        <v>0.88043220724250759</v>
      </c>
      <c r="F34" s="220">
        <v>0.40310392491680913</v>
      </c>
      <c r="G34" s="213">
        <v>0.84502802981830583</v>
      </c>
      <c r="H34" s="214">
        <f>H33+$H$25</f>
        <v>0.15640000000000007</v>
      </c>
      <c r="R34" s="218">
        <v>0</v>
      </c>
      <c r="S34" s="130">
        <v>0</v>
      </c>
      <c r="T34" s="130">
        <v>0.11024405287530392</v>
      </c>
      <c r="U34" s="130">
        <v>0.71219268976560379</v>
      </c>
      <c r="V34" s="130">
        <v>0.17756324799023862</v>
      </c>
      <c r="W34" s="215">
        <v>0.61138240580018621</v>
      </c>
      <c r="X34" s="216">
        <v>0.18499999764094607</v>
      </c>
    </row>
    <row r="35" spans="2:26" x14ac:dyDescent="0.2">
      <c r="B35" s="218">
        <v>-6.3038965320515242E-2</v>
      </c>
      <c r="C35" s="130">
        <v>-0.32982898162867874</v>
      </c>
      <c r="D35" s="130">
        <v>0.17499067483474495</v>
      </c>
      <c r="E35" s="130">
        <v>0.86170273309124212</v>
      </c>
      <c r="F35" s="130">
        <v>0.35617453771392488</v>
      </c>
      <c r="G35" s="215">
        <v>0.79639478851121281</v>
      </c>
      <c r="H35" s="216">
        <f>H34+$H$25</f>
        <v>0.16160000000000008</v>
      </c>
      <c r="R35" s="219">
        <v>8.8917579197975941E-3</v>
      </c>
      <c r="S35" s="220">
        <v>0</v>
      </c>
      <c r="T35" s="220">
        <v>7.4801114928693707E-2</v>
      </c>
      <c r="U35" s="220">
        <v>0.81403405956815855</v>
      </c>
      <c r="V35" s="220">
        <v>0.10227306164543744</v>
      </c>
      <c r="W35" s="213">
        <v>0.57829773946435592</v>
      </c>
      <c r="X35" s="214">
        <v>0.19000000002195949</v>
      </c>
    </row>
    <row r="36" spans="2:26" x14ac:dyDescent="0.2">
      <c r="B36" s="219">
        <v>-4.9462944949934515E-2</v>
      </c>
      <c r="C36" s="220">
        <v>-0.27003456411982441</v>
      </c>
      <c r="D36" s="220">
        <v>0.15650148434922445</v>
      </c>
      <c r="E36" s="220">
        <v>0.85358701884442267</v>
      </c>
      <c r="F36" s="220">
        <v>0.30940900623798551</v>
      </c>
      <c r="G36" s="213">
        <v>0.74977037280710135</v>
      </c>
      <c r="H36" s="214">
        <f>H35+$H$25</f>
        <v>0.16680000000000009</v>
      </c>
      <c r="R36" s="218">
        <v>1.841237433498007E-2</v>
      </c>
      <c r="S36" s="130">
        <v>2.893970475819542E-2</v>
      </c>
      <c r="T36" s="130">
        <v>6.4056177285164259E-2</v>
      </c>
      <c r="U36" s="130">
        <v>0.8130097965871339</v>
      </c>
      <c r="V36" s="130">
        <v>7.5581948864341553E-2</v>
      </c>
      <c r="W36" s="215">
        <v>0.56330204367964043</v>
      </c>
      <c r="X36" s="216">
        <v>0.19280000000000014</v>
      </c>
    </row>
    <row r="37" spans="2:26" x14ac:dyDescent="0.2">
      <c r="B37" s="218">
        <v>-3.5888816861910505E-2</v>
      </c>
      <c r="C37" s="130">
        <v>-0.21023976783035028</v>
      </c>
      <c r="D37" s="130">
        <v>0.1380123670229142</v>
      </c>
      <c r="E37" s="130">
        <v>0.84547274278591922</v>
      </c>
      <c r="F37" s="130">
        <v>0.26264347799216986</v>
      </c>
      <c r="G37" s="215">
        <v>0.70553042128553589</v>
      </c>
      <c r="H37" s="216">
        <f>H36+$H$25</f>
        <v>0.1720000000000001</v>
      </c>
      <c r="R37" s="219">
        <v>3.1987523988532017E-2</v>
      </c>
      <c r="S37" s="220">
        <v>8.873439359746417E-2</v>
      </c>
      <c r="T37" s="220">
        <v>4.5567087309079733E-2</v>
      </c>
      <c r="U37" s="220">
        <v>0.80489460863957485</v>
      </c>
      <c r="V37" s="220">
        <v>2.8816387372501306E-2</v>
      </c>
      <c r="W37" s="213">
        <v>0.53987002317202626</v>
      </c>
      <c r="X37" s="214">
        <v>0.19800000000000015</v>
      </c>
    </row>
    <row r="38" spans="2:26" x14ac:dyDescent="0.2">
      <c r="B38" s="219">
        <v>-2.2313463418789078E-2</v>
      </c>
      <c r="C38" s="220">
        <v>-0.15044466873468673</v>
      </c>
      <c r="D38" s="220">
        <v>0.11952339256093626</v>
      </c>
      <c r="E38" s="220">
        <v>0.83735655201980719</v>
      </c>
      <c r="F38" s="220">
        <v>0.21587818736613065</v>
      </c>
      <c r="G38" s="213">
        <v>0.66415155259185688</v>
      </c>
      <c r="H38" s="214">
        <f>H37+$H$25</f>
        <v>0.17720000000000011</v>
      </c>
      <c r="Q38" t="s">
        <v>134</v>
      </c>
      <c r="R38" s="218">
        <v>5.2211997300553967E-2</v>
      </c>
      <c r="S38" s="130">
        <v>0.25002531911309617</v>
      </c>
      <c r="T38" s="130">
        <v>0</v>
      </c>
      <c r="U38" s="130">
        <v>0.69776268166597544</v>
      </c>
      <c r="V38" s="130">
        <v>0</v>
      </c>
      <c r="W38" s="215">
        <v>0.51900936672372699</v>
      </c>
      <c r="X38" s="216">
        <v>0.20679945164984459</v>
      </c>
    </row>
    <row r="39" spans="2:26" ht="17" thickBot="1" x14ac:dyDescent="0.25">
      <c r="B39" s="218">
        <v>-2.1843269509439545E-2</v>
      </c>
      <c r="C39" s="130">
        <v>-8.7930035390425543E-2</v>
      </c>
      <c r="D39" s="130">
        <v>0.10069095780648127</v>
      </c>
      <c r="E39" s="130">
        <v>0.83965346964190413</v>
      </c>
      <c r="F39" s="130">
        <v>0.16942887608162072</v>
      </c>
      <c r="G39" s="215">
        <v>0.6262291275081443</v>
      </c>
      <c r="H39" s="216">
        <f>H38+$H$25</f>
        <v>0.18240000000000012</v>
      </c>
      <c r="R39" s="235">
        <v>0.1159217826574786</v>
      </c>
      <c r="S39" s="236">
        <v>0.88407821734252134</v>
      </c>
      <c r="T39" s="236">
        <v>0</v>
      </c>
      <c r="U39" s="236">
        <v>0</v>
      </c>
      <c r="V39" s="236">
        <v>0</v>
      </c>
      <c r="W39" s="217">
        <v>0.68171664695133105</v>
      </c>
      <c r="X39" s="237">
        <v>0.22999999968897156</v>
      </c>
    </row>
    <row r="40" spans="2:26" x14ac:dyDescent="0.2">
      <c r="B40" s="219">
        <v>4.8370191687464063E-3</v>
      </c>
      <c r="C40" s="220">
        <v>-3.0855179137103169E-2</v>
      </c>
      <c r="D40" s="220">
        <v>8.2545305406562255E-2</v>
      </c>
      <c r="E40" s="220">
        <v>0.82112561779818771</v>
      </c>
      <c r="F40" s="220">
        <v>0.12234723920775545</v>
      </c>
      <c r="G40" s="213">
        <v>0.59233884242340773</v>
      </c>
      <c r="H40" s="214">
        <f>H39+$H$25</f>
        <v>0.18760000000000013</v>
      </c>
      <c r="Z40" s="12"/>
    </row>
    <row r="41" spans="2:26" x14ac:dyDescent="0.2">
      <c r="B41" s="218">
        <v>1.8412251419312509E-2</v>
      </c>
      <c r="C41" s="130">
        <v>2.8939577427895487E-2</v>
      </c>
      <c r="D41" s="130">
        <v>6.4056227733089527E-2</v>
      </c>
      <c r="E41" s="130">
        <v>0.81301016422496064</v>
      </c>
      <c r="F41" s="130">
        <v>7.5581781639840695E-2</v>
      </c>
      <c r="G41" s="215">
        <v>0.56330203598811024</v>
      </c>
      <c r="H41" s="216">
        <f>H40+$H$25</f>
        <v>0.19280000000000014</v>
      </c>
      <c r="Y41" s="12"/>
    </row>
    <row r="42" spans="2:26" x14ac:dyDescent="0.2">
      <c r="B42" s="219">
        <v>3.1987523988532017E-2</v>
      </c>
      <c r="C42" s="220">
        <v>8.873439359746417E-2</v>
      </c>
      <c r="D42" s="220">
        <v>4.5567087309079733E-2</v>
      </c>
      <c r="E42" s="220">
        <v>0.80489460863957485</v>
      </c>
      <c r="F42" s="220">
        <v>2.8816387372501306E-2</v>
      </c>
      <c r="G42" s="213">
        <v>0.53987002317202626</v>
      </c>
      <c r="H42" s="214">
        <f>H41+$H$25</f>
        <v>0.19800000000000015</v>
      </c>
    </row>
    <row r="43" spans="2:26" x14ac:dyDescent="0.2">
      <c r="B43" s="218">
        <v>4.5562782872017621E-2</v>
      </c>
      <c r="C43" s="130">
        <v>0.1485292376189786</v>
      </c>
      <c r="D43" s="130">
        <v>2.7078162589142123E-2</v>
      </c>
      <c r="E43" s="130">
        <v>0.79677892356197355</v>
      </c>
      <c r="F43" s="130">
        <v>-1.794910772176583E-2</v>
      </c>
      <c r="G43" s="215">
        <v>0.52279698631231708</v>
      </c>
      <c r="H43" s="216">
        <f>H42+$H$25</f>
        <v>0.20320000000000016</v>
      </c>
    </row>
    <row r="44" spans="2:26" x14ac:dyDescent="0.2">
      <c r="B44" s="219">
        <v>5.9138553277766931E-2</v>
      </c>
      <c r="C44" s="220">
        <v>0.2083264171741159</v>
      </c>
      <c r="D44" s="220">
        <v>8.5884418677268162E-3</v>
      </c>
      <c r="E44" s="220">
        <v>0.7886629273721566</v>
      </c>
      <c r="F44" s="220">
        <v>-6.4716336938261371E-2</v>
      </c>
      <c r="G44" s="213">
        <v>0.5127183156286208</v>
      </c>
      <c r="H44" s="214">
        <f>H43+$H$25</f>
        <v>0.20840000000000017</v>
      </c>
      <c r="Z44" s="12"/>
    </row>
    <row r="45" spans="2:26" x14ac:dyDescent="0.2">
      <c r="B45" s="218">
        <v>7.2713342004392029E-2</v>
      </c>
      <c r="C45" s="130">
        <v>0.26811883594416447</v>
      </c>
      <c r="D45" s="130">
        <v>-9.8999196476938622E-3</v>
      </c>
      <c r="E45" s="130">
        <v>0.7805477295698291</v>
      </c>
      <c r="F45" s="130">
        <v>-0.11147998578946565</v>
      </c>
      <c r="G45" s="215">
        <v>0.51004955071546976</v>
      </c>
      <c r="H45" s="216">
        <f>H44+$H$25</f>
        <v>0.21360000000000018</v>
      </c>
    </row>
    <row r="46" spans="2:26" x14ac:dyDescent="0.2">
      <c r="B46" s="219">
        <v>8.6288434678825021E-2</v>
      </c>
      <c r="C46" s="220">
        <v>0.32791369040219137</v>
      </c>
      <c r="D46" s="220">
        <v>-2.8388928136811327E-2</v>
      </c>
      <c r="E46" s="220">
        <v>0.77243225946411553</v>
      </c>
      <c r="F46" s="220">
        <v>-0.15824545858837291</v>
      </c>
      <c r="G46" s="213">
        <v>0.51490518219221848</v>
      </c>
      <c r="H46" s="214">
        <f>H45+$H$25</f>
        <v>0.21880000000000019</v>
      </c>
    </row>
    <row r="47" spans="2:26" x14ac:dyDescent="0.2">
      <c r="B47" s="218">
        <v>9.9863955839087068E-2</v>
      </c>
      <c r="C47" s="130">
        <v>0.38770855098325263</v>
      </c>
      <c r="D47" s="130">
        <v>-4.6877922538753607E-2</v>
      </c>
      <c r="E47" s="130">
        <v>0.76431626072364645</v>
      </c>
      <c r="F47" s="130">
        <v>-0.20501084459213789</v>
      </c>
      <c r="G47" s="215">
        <v>0.52707754179425037</v>
      </c>
      <c r="H47" s="216">
        <f>H46+$H$25</f>
        <v>0.2240000000000002</v>
      </c>
    </row>
    <row r="48" spans="2:26" x14ac:dyDescent="0.2">
      <c r="B48" s="221">
        <v>0.11596918387111521</v>
      </c>
      <c r="C48" s="222">
        <v>0.44728556110809076</v>
      </c>
      <c r="D48" s="222">
        <v>-6.4749746123662008E-2</v>
      </c>
      <c r="E48" s="222">
        <v>0.75344707073228634</v>
      </c>
      <c r="F48" s="222">
        <v>-0.25195206908633788</v>
      </c>
      <c r="G48" s="213">
        <v>0.54607905226097697</v>
      </c>
      <c r="H48" s="214">
        <f>H47+$H$25</f>
        <v>0.22920000000000021</v>
      </c>
    </row>
    <row r="49" spans="2:9" x14ac:dyDescent="0.2">
      <c r="B49" s="218">
        <v>0.12701510893212986</v>
      </c>
      <c r="C49" s="130">
        <v>0.50730049686204925</v>
      </c>
      <c r="D49" s="130">
        <v>-8.3856802911033229E-2</v>
      </c>
      <c r="E49" s="130">
        <v>0.74808518071420571</v>
      </c>
      <c r="F49" s="130">
        <v>-0.29854398037162316</v>
      </c>
      <c r="G49" s="215">
        <v>0.57122558187391859</v>
      </c>
      <c r="H49" s="216">
        <f>H48+$H$25</f>
        <v>0.23440000000000022</v>
      </c>
    </row>
    <row r="50" spans="2:9" x14ac:dyDescent="0.2">
      <c r="B50" s="221">
        <v>0.13662135832018171</v>
      </c>
      <c r="C50" s="222">
        <v>0.56727984479394222</v>
      </c>
      <c r="D50" s="222">
        <v>-0.1029527230895104</v>
      </c>
      <c r="E50" s="222">
        <v>0.74440712706107404</v>
      </c>
      <c r="F50" s="222">
        <v>-0.34535560763800904</v>
      </c>
      <c r="G50" s="225">
        <v>0.601750881690996</v>
      </c>
      <c r="H50" s="226">
        <f>H49+$H$25</f>
        <v>0.23960000000000023</v>
      </c>
    </row>
    <row r="51" spans="2:9" x14ac:dyDescent="0.2">
      <c r="B51" s="218">
        <v>0.15416513988984898</v>
      </c>
      <c r="C51" s="130">
        <v>0.62688786316536771</v>
      </c>
      <c r="D51" s="130">
        <v>-0.12083413586133236</v>
      </c>
      <c r="E51" s="130">
        <v>0.73185362316689562</v>
      </c>
      <c r="F51" s="130">
        <v>-0.39207248927963917</v>
      </c>
      <c r="G51" s="215">
        <v>0.63687528242140767</v>
      </c>
      <c r="H51" s="216">
        <f>H50+$H$25</f>
        <v>0.24480000000000024</v>
      </c>
    </row>
    <row r="52" spans="2:9" ht="17" thickBot="1" x14ac:dyDescent="0.25">
      <c r="B52" s="223">
        <v>0.16773993705214266</v>
      </c>
      <c r="C52" s="224">
        <v>0.68668255254714949</v>
      </c>
      <c r="D52" s="224">
        <v>-0.13932319714848634</v>
      </c>
      <c r="E52" s="224">
        <v>0.72373878513604295</v>
      </c>
      <c r="F52" s="224">
        <v>-0.43883807757679705</v>
      </c>
      <c r="G52" s="227">
        <v>0.67588937048379116</v>
      </c>
      <c r="H52" s="228">
        <f>H51+$H$25</f>
        <v>0.25000000000000022</v>
      </c>
    </row>
    <row r="57" spans="2:9" x14ac:dyDescent="0.2">
      <c r="H57" s="2"/>
    </row>
    <row r="64" spans="2:9" x14ac:dyDescent="0.2">
      <c r="I64" s="2"/>
    </row>
    <row r="65" spans="9:9" x14ac:dyDescent="0.2">
      <c r="I65" s="2"/>
    </row>
    <row r="66" spans="9:9" x14ac:dyDescent="0.2">
      <c r="I66" s="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Sheet1</vt:lpstr>
      <vt:lpstr>Sheet2</vt:lpstr>
      <vt:lpstr>Sheet3</vt:lpstr>
      <vt:lpstr>Sheet4</vt:lpstr>
      <vt:lpstr>Sheet5</vt:lpstr>
      <vt:lpstr>Sheet6</vt:lpstr>
      <vt:lpstr>Sheet7</vt:lpstr>
      <vt:lpstr>Regressions</vt:lpstr>
      <vt:lpstr>Sheet8</vt:lpstr>
      <vt:lpstr>Sheet9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A1</dc:creator>
  <cp:lastModifiedBy>Garcia, Bryan Joel</cp:lastModifiedBy>
  <dcterms:created xsi:type="dcterms:W3CDTF">2021-04-13T02:25:21Z</dcterms:created>
  <dcterms:modified xsi:type="dcterms:W3CDTF">2021-04-16T02:46:04Z</dcterms:modified>
</cp:coreProperties>
</file>