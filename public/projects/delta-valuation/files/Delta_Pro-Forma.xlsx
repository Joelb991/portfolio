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garci\Downloads\"/>
    </mc:Choice>
  </mc:AlternateContent>
  <xr:revisionPtr revIDLastSave="0" documentId="13_ncr:1_{97C23146-298E-47DC-8A7A-C38AF80A8689}" xr6:coauthVersionLast="45" xr6:coauthVersionMax="45" xr10:uidLastSave="{00000000-0000-0000-0000-000000000000}"/>
  <bookViews>
    <workbookView xWindow="-120" yWindow="-120" windowWidth="29040" windowHeight="15840" xr2:uid="{9C9B46CA-0D2A-499C-8DDE-7C9ED8EBCC9F}"/>
  </bookViews>
  <sheets>
    <sheet name="PRO-FORMA FINAL" sheetId="8" r:id="rId1"/>
    <sheet name="Final Balance Sheet" sheetId="4" r:id="rId2"/>
    <sheet name="Original Balance Sheet" sheetId="1" r:id="rId3"/>
    <sheet name="Final Income Statement" sheetId="5" r:id="rId4"/>
    <sheet name="Original Income Statement" sheetId="6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2" i="8" l="1"/>
  <c r="J22" i="8"/>
  <c r="I22" i="8"/>
  <c r="H22" i="8"/>
  <c r="G22" i="8"/>
  <c r="F22" i="8"/>
  <c r="E22" i="8"/>
  <c r="D22" i="8"/>
  <c r="C22" i="8"/>
  <c r="B22" i="8"/>
  <c r="K22" i="4"/>
  <c r="J22" i="4"/>
  <c r="I22" i="4"/>
  <c r="H22" i="4"/>
  <c r="G22" i="4"/>
  <c r="F22" i="4"/>
  <c r="E22" i="4"/>
  <c r="D22" i="4"/>
  <c r="C22" i="4"/>
  <c r="B22" i="4"/>
</calcChain>
</file>

<file path=xl/sharedStrings.xml><?xml version="1.0" encoding="utf-8"?>
<sst xmlns="http://schemas.openxmlformats.org/spreadsheetml/2006/main" count="958" uniqueCount="188">
  <si>
    <t>Current Data:</t>
  </si>
  <si>
    <t>DELTA</t>
  </si>
  <si>
    <t xml:space="preserve">Form Type: 10-K </t>
  </si>
  <si>
    <t>Period End: December 31, 2019</t>
  </si>
  <si>
    <t>(in millions, except share data)</t>
  </si>
  <si>
    <t>ASSETS</t>
  </si>
  <si>
    <t>Current Assets:</t>
  </si>
  <si>
    <t>Cash and cash equivalents</t>
  </si>
  <si>
    <t>Short-term investments</t>
  </si>
  <si>
    <t>Restricted cash, cash equivalents and short-term</t>
  </si>
  <si>
    <t>investments</t>
  </si>
  <si>
    <t>Accounts receivable, net of an allowance for uncollectible</t>
  </si>
  <si>
    <t>accounts of $33 and $40</t>
  </si>
  <si>
    <t>at December 31, 2011 and 2010, respectively</t>
  </si>
  <si>
    <t>Expendable parts and supplies inventories, net of an</t>
  </si>
  <si>
    <t>allowance for obsolescence of $101 and $104</t>
  </si>
  <si>
    <t>Deferred income taxes, net</t>
  </si>
  <si>
    <t>Prepaid expenses and other</t>
  </si>
  <si>
    <t>Total current assets</t>
  </si>
  <si>
    <t>Property and Equipment, Net:</t>
  </si>
  <si>
    <t>Property and equipment, net of accumulated depreciation and</t>
  </si>
  <si>
    <t>amortization of $5,472 and $4,164</t>
  </si>
  <si>
    <t>Other Assets:</t>
  </si>
  <si>
    <t>Goodwill</t>
  </si>
  <si>
    <t>Identifiable intangibles, net of accumulated amortization</t>
  </si>
  <si>
    <t>of $600 and $530</t>
  </si>
  <si>
    <t>Other noncurrent assets</t>
  </si>
  <si>
    <t>Total other assets</t>
  </si>
  <si>
    <t>Total assets</t>
  </si>
  <si>
    <t>LIABILITIES AND STOCKHOLDERS' (DEFICIT) EQUITY</t>
  </si>
  <si>
    <t>Current Liabilities:</t>
  </si>
  <si>
    <t>Current maturities of long-term debt and capital leases</t>
  </si>
  <si>
    <t>Air traffic liability</t>
  </si>
  <si>
    <t>Accounts payable</t>
  </si>
  <si>
    <t>Frequent flyer deferred revenue</t>
  </si>
  <si>
    <t>Accrued salaries and related benefits</t>
  </si>
  <si>
    <t>Taxes payable</t>
  </si>
  <si>
    <t>Other accrued liabilities</t>
  </si>
  <si>
    <t>Total current liabilities</t>
  </si>
  <si>
    <t>Noncurrent Liabilities:</t>
  </si>
  <si>
    <t>Long-term debt and capital leases</t>
  </si>
  <si>
    <t>Pension, postretirement and related benefits</t>
  </si>
  <si>
    <t>Other noncurrent liabilities</t>
  </si>
  <si>
    <t>Total noncurrent liabilities</t>
  </si>
  <si>
    <t>Commitments and Contingencies</t>
  </si>
  <si>
    <t>Stockholders' (Deficit) Equity:</t>
  </si>
  <si>
    <t>Common stock at $0.0001 par value; 1,500,000,000 shares</t>
  </si>
  <si>
    <t>authorized, 861,499,734 and 847,716,723</t>
  </si>
  <si>
    <t>shares issued at December 31, 2011 and 2010, respectively</t>
  </si>
  <si>
    <t>Additional paid-in capital</t>
  </si>
  <si>
    <t>Accumulated other comprehensive loss</t>
  </si>
  <si>
    <t>Treasury stock, at cost, 16,253,791 and 12,993,100 shares</t>
  </si>
  <si>
    <t>Total stockholders' (deficit) equity</t>
  </si>
  <si>
    <t>Total liabilities and stockholders' (deficit) equity</t>
  </si>
  <si>
    <t>accounts of $23 and $36</t>
  </si>
  <si>
    <t>at December 31, 2013 and 2012, respectively</t>
  </si>
  <si>
    <t>Fuel inventory</t>
  </si>
  <si>
    <t>allowance for obsolescence of $118 and $127</t>
  </si>
  <si>
    <t>amortization of $7,792 and $6,656</t>
  </si>
  <si>
    <t>of $738 and $670</t>
  </si>
  <si>
    <t>LIABILITIES AND STOCKHOLDERS' EQUITY (DEFICIT)</t>
  </si>
  <si>
    <t>Fuel card obligation</t>
  </si>
  <si>
    <t>Stockholders' Equity (Deficit):</t>
  </si>
  <si>
    <t>authorized, 869,484,981 and 867,866,505</t>
  </si>
  <si>
    <t>shares issued at December 31, 2013 and 2012, respectively</t>
  </si>
  <si>
    <t>Retained earnings (accumulated deficit)</t>
  </si>
  <si>
    <t>Treasury stock, at cost, 18,041,848 and 16,464,472 shares</t>
  </si>
  <si>
    <t>Total stockholders' equity (deficit)</t>
  </si>
  <si>
    <t>Total liabilities and stockholders' equity (deficit)</t>
  </si>
  <si>
    <t>accounts of $9 and $11 at December 31, 2015 and 2014,</t>
  </si>
  <si>
    <t>respectively</t>
  </si>
  <si>
    <t>Hedge margin receivable</t>
  </si>
  <si>
    <t>allowance for obsolescence of $114 and $127 at December 31,</t>
  </si>
  <si>
    <t>2015 and 2014, respectively</t>
  </si>
  <si>
    <t>Hedge derivatives asset</t>
  </si>
  <si>
    <t>amortization of $10,871 and $9,340 at December 31, 2015 and</t>
  </si>
  <si>
    <t>2014, respectively</t>
  </si>
  <si>
    <t>Identifiable intangibles, net of accumulated amortization of</t>
  </si>
  <si>
    <t>LIABILITIES AND STOCKHOLDERS' EQUITY</t>
  </si>
  <si>
    <t>Hedge derivatives liability</t>
  </si>
  <si>
    <t>Stockholders' Equity:</t>
  </si>
  <si>
    <t>authorized, 799,850,675 and 845,048,310 shares issued at</t>
  </si>
  <si>
    <t>December 31, 2015 and 2014, respectively</t>
  </si>
  <si>
    <t>Retained earnings</t>
  </si>
  <si>
    <t>Treasury stock, at cost, 21,066,684 and 19,790,077 shares at</t>
  </si>
  <si>
    <t>Total stockholders' equity</t>
  </si>
  <si>
    <t>Total liabilities and stockholders' equity</t>
  </si>
  <si>
    <t>accounts of $12 and $15 at December 31, 2017 and 2016,</t>
  </si>
  <si>
    <t>allowance for obsolescence of $113 and $110 at December 31,</t>
  </si>
  <si>
    <t>2017 and 2016, respectively</t>
  </si>
  <si>
    <t>amortization of $14,097 and $12,456 at December 31, 2017 and</t>
  </si>
  <si>
    <t>2016, respectively</t>
  </si>
  <si>
    <t>authorized, 714,674,160 and 744,886,938 shares issued at</t>
  </si>
  <si>
    <t>December 31, 2017 and 2016, respectively</t>
  </si>
  <si>
    <t>Treasury stock, at cost, 7,476,181 and 14,149,229 shares at</t>
  </si>
  <si>
    <t>Accounts receivable, net of an allowance for uncollectible accounts</t>
  </si>
  <si>
    <t>Expendable parts and supplies inventories, net of an allowance for</t>
  </si>
  <si>
    <t>obsolescence of $82 and $102 at December 31, 2019 and 2018,</t>
  </si>
  <si>
    <t>Noncurrent Assets:</t>
  </si>
  <si>
    <t>Operating lease right-of-use assets</t>
  </si>
  <si>
    <t>Cash restricted for airport construction</t>
  </si>
  <si>
    <t>Total noncurrent assets</t>
  </si>
  <si>
    <t>Current maturities of debt and finance leases</t>
  </si>
  <si>
    <t>Current maturities of operating leases</t>
  </si>
  <si>
    <t>Loyalty program deferred revenue</t>
  </si>
  <si>
    <t>Debt and finance leases</t>
  </si>
  <si>
    <t>Noncurrent operating leases</t>
  </si>
  <si>
    <t>Common stock at $0.0001 par value; 1,500,000,000 shares authorized,</t>
  </si>
  <si>
    <t>651,731,443 and 688,136,306 shares issued at December 31, 2019 and</t>
  </si>
  <si>
    <t>2018, respectively</t>
  </si>
  <si>
    <t>Treasury stock, at cost, 8,959,730 and 8,191,831 shares at</t>
  </si>
  <si>
    <t>December 31, 2019 and 2018, respectively</t>
  </si>
  <si>
    <t xml:space="preserve">$811 and $793 </t>
  </si>
  <si>
    <t>at December 31, 2015 and 2014, respectively</t>
  </si>
  <si>
    <t>at December 31, 2017 and 2016, respectively</t>
  </si>
  <si>
    <t>$845 and $828</t>
  </si>
  <si>
    <t xml:space="preserve">of $13 and $12 at December 31, 2019 and 2018, </t>
  </si>
  <si>
    <t xml:space="preserve">amortization of $17,027 and $15,823 at December 31, 2019 </t>
  </si>
  <si>
    <t>and 2018, respectively</t>
  </si>
  <si>
    <t xml:space="preserve">Identifiable intangibles, net of accumulated amortization of </t>
  </si>
  <si>
    <t xml:space="preserve">$873 and $862 </t>
  </si>
  <si>
    <t>at December 31, 2019 and 2018, respectively</t>
  </si>
  <si>
    <t>Hedge derivative asset</t>
  </si>
  <si>
    <t>operating lease right-of-use assets</t>
  </si>
  <si>
    <t>cash restricted for airport construction</t>
  </si>
  <si>
    <t>current maturities of operating leases</t>
  </si>
  <si>
    <t>hedge derivatives liability</t>
  </si>
  <si>
    <t>loyalty program deferred revenue</t>
  </si>
  <si>
    <t>noncurrent operating leases</t>
  </si>
  <si>
    <t>Current Date:</t>
  </si>
  <si>
    <t xml:space="preserve">Restricted cash, cash equivalents and short-term investments </t>
  </si>
  <si>
    <t>Accounts receivable, net of an allowance for uncollectible at December 31</t>
  </si>
  <si>
    <t>Identifiable intangibles, net of accumulated amortization of $738 and $670 at December 31, 2013 and 2012, respectively</t>
  </si>
  <si>
    <t>Treasury stock, at cost, 8,959,730 and 8,191,831 shares at December 31, 2019 and 2018, respectively</t>
  </si>
  <si>
    <t>Common stock at $0.0001 par value; 1,500,000,000 shares authorized, 651,731,443 and 688,136,306 shares issued at December 31, 2019 and 2018, respectively</t>
  </si>
  <si>
    <t>Expendable parts and supplies inventories, net of an allowance for obsolescence of $82 and $102 at December 31, 2019 and 2018, respectively</t>
  </si>
  <si>
    <t>Property and equipment, net of accumulated depreciation and amortization of $17,027 and $15,823 at December 31, 2019 and 2018, respectively</t>
  </si>
  <si>
    <t>(in millions, except per share data)</t>
  </si>
  <si>
    <t>Operating Revenue:</t>
  </si>
  <si>
    <t>Passenger:</t>
  </si>
  <si>
    <t>Mainline</t>
  </si>
  <si>
    <t>Regional carriers</t>
  </si>
  <si>
    <t>Total passenger revenue</t>
  </si>
  <si>
    <t>Cargo</t>
  </si>
  <si>
    <t>Other</t>
  </si>
  <si>
    <t>Total operating revenue</t>
  </si>
  <si>
    <t>Operating Expense:</t>
  </si>
  <si>
    <t>Aircraft fuel and related taxes</t>
  </si>
  <si>
    <t>Salaries and related costs</t>
  </si>
  <si>
    <t>Contract carrier arrangements</t>
  </si>
  <si>
    <t>Aircraft maintenance materials and outside repairs</t>
  </si>
  <si>
    <t>Passenger commissions and other selling expenses</t>
  </si>
  <si>
    <t>Contracted services</t>
  </si>
  <si>
    <t>Depreciation and amortization</t>
  </si>
  <si>
    <t>Landing fees and other rents</t>
  </si>
  <si>
    <t>Passenger service</t>
  </si>
  <si>
    <t>Aircraft rent</t>
  </si>
  <si>
    <t>Profit sharing</t>
  </si>
  <si>
    <t>Restructuring and other items</t>
  </si>
  <si>
    <t>Total operating expense</t>
  </si>
  <si>
    <t>Operating Income (Loss)</t>
  </si>
  <si>
    <t>Interest expense, net</t>
  </si>
  <si>
    <t>Amortization of debt discount, net</t>
  </si>
  <si>
    <t>Loss on extinguishment of debt</t>
  </si>
  <si>
    <t>Miscellaneous, net</t>
  </si>
  <si>
    <t>Income (Loss) Before Income Taxes</t>
  </si>
  <si>
    <t>Income Tax Benefit (Provision)</t>
  </si>
  <si>
    <t>Net Income (Loss)</t>
  </si>
  <si>
    <t>Basic Earnings (Loss) Per Share</t>
  </si>
  <si>
    <t>Diluted Earnings (Loss) Per Share</t>
  </si>
  <si>
    <t>Regional carrier expense</t>
  </si>
  <si>
    <t>Operating Income</t>
  </si>
  <si>
    <t>Income Before Income Taxes</t>
  </si>
  <si>
    <t>Net Income</t>
  </si>
  <si>
    <t>Basic Earnings Per Share</t>
  </si>
  <si>
    <t>Diluted Earnings Per Share</t>
  </si>
  <si>
    <t>Cash Dividends Declared Per Share</t>
  </si>
  <si>
    <t>Regional carriers expense</t>
  </si>
  <si>
    <t>Restructuring and other</t>
  </si>
  <si>
    <t>Non-Operating Expense:</t>
  </si>
  <si>
    <t>Total non-operating expense, net</t>
  </si>
  <si>
    <t>Income Tax (Provision) Benefit</t>
  </si>
  <si>
    <t>Income Tax Provision</t>
  </si>
  <si>
    <t>Regional carriers expense, excluding fuel</t>
  </si>
  <si>
    <t>Ancillary businesses and refinery</t>
  </si>
  <si>
    <t>Gain/(loss) on investments, net</t>
  </si>
  <si>
    <t>INCOME STATEMENT</t>
  </si>
  <si>
    <t>ORGANIZED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</si>
</sst>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>
      <alignment vertical="top"/>
    </xf>
  </cellStyleXfs>
  <cellXfs count="144">
    <xf numFmtId="0" fontId="0" fillId="0" borderId="0" xfId="0"/>
    <xf numFmtId="14" fontId="0" fillId="0" borderId="0" xfId="0" applyNumberFormat="1"/>
    <xf numFmtId="0" fontId="3" fillId="2" borderId="0" xfId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42" fontId="5" fillId="0" borderId="0" xfId="0" applyNumberFormat="1" applyFont="1" applyAlignment="1">
      <alignment vertical="top"/>
    </xf>
    <xf numFmtId="37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5" fillId="0" borderId="0" xfId="2">
      <alignment vertical="top"/>
    </xf>
    <xf numFmtId="37" fontId="5" fillId="0" borderId="0" xfId="2" applyNumberFormat="1" applyFont="1">
      <alignment vertical="top"/>
    </xf>
    <xf numFmtId="42" fontId="5" fillId="0" borderId="0" xfId="2" applyNumberFormat="1" applyFont="1">
      <alignment vertical="top"/>
    </xf>
    <xf numFmtId="43" fontId="5" fillId="0" borderId="0" xfId="2" applyNumberFormat="1" applyFont="1">
      <alignment vertical="top"/>
    </xf>
    <xf numFmtId="0" fontId="5" fillId="0" borderId="0" xfId="2" applyFont="1" applyFill="1">
      <alignment vertical="top"/>
    </xf>
    <xf numFmtId="0" fontId="9" fillId="0" borderId="0" xfId="0" applyFont="1" applyAlignment="1">
      <alignment vertical="top"/>
    </xf>
    <xf numFmtId="0" fontId="0" fillId="3" borderId="0" xfId="0" applyFill="1"/>
    <xf numFmtId="0" fontId="5" fillId="0" borderId="0" xfId="0" applyFont="1" applyAlignment="1">
      <alignment horizontal="left" vertical="top" indent="1"/>
    </xf>
    <xf numFmtId="0" fontId="5" fillId="0" borderId="0" xfId="0" applyFont="1" applyAlignment="1">
      <alignment horizontal="left" vertical="top" indent="2"/>
    </xf>
    <xf numFmtId="0" fontId="6" fillId="0" borderId="0" xfId="0" applyFont="1" applyAlignment="1">
      <alignment horizontal="left" vertical="top" indent="1"/>
    </xf>
    <xf numFmtId="44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vertical="top" wrapText="1" indent="1"/>
    </xf>
    <xf numFmtId="0" fontId="6" fillId="0" borderId="0" xfId="2" applyFont="1">
      <alignment vertical="top"/>
    </xf>
    <xf numFmtId="0" fontId="6" fillId="0" borderId="0" xfId="2" applyFont="1" applyAlignment="1">
      <alignment horizontal="left" vertical="top" wrapText="1" indent="1"/>
    </xf>
    <xf numFmtId="0" fontId="6" fillId="0" borderId="0" xfId="2" applyFont="1" applyAlignment="1">
      <alignment horizontal="left" vertical="top" indent="1"/>
    </xf>
    <xf numFmtId="37" fontId="5" fillId="0" borderId="1" xfId="0" applyNumberFormat="1" applyFont="1" applyBorder="1" applyAlignment="1">
      <alignment vertical="top"/>
    </xf>
    <xf numFmtId="37" fontId="5" fillId="0" borderId="1" xfId="2" applyNumberFormat="1" applyFont="1" applyBorder="1">
      <alignment vertical="top"/>
    </xf>
    <xf numFmtId="37" fontId="5" fillId="0" borderId="2" xfId="0" applyNumberFormat="1" applyFont="1" applyBorder="1" applyAlignment="1">
      <alignment vertical="top"/>
    </xf>
    <xf numFmtId="37" fontId="5" fillId="0" borderId="2" xfId="2" applyNumberFormat="1" applyFont="1" applyBorder="1">
      <alignment vertical="top"/>
    </xf>
    <xf numFmtId="37" fontId="5" fillId="0" borderId="3" xfId="2" applyNumberFormat="1" applyFont="1" applyBorder="1">
      <alignment vertical="top"/>
    </xf>
    <xf numFmtId="42" fontId="5" fillId="0" borderId="4" xfId="0" applyNumberFormat="1" applyFont="1" applyBorder="1" applyAlignment="1">
      <alignment vertical="top"/>
    </xf>
    <xf numFmtId="42" fontId="5" fillId="0" borderId="4" xfId="2" applyNumberFormat="1" applyFont="1" applyBorder="1">
      <alignment vertical="top"/>
    </xf>
    <xf numFmtId="37" fontId="6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center"/>
    </xf>
    <xf numFmtId="0" fontId="8" fillId="2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37" fontId="0" fillId="0" borderId="0" xfId="0" applyNumberFormat="1"/>
    <xf numFmtId="37" fontId="0" fillId="0" borderId="0" xfId="0" applyNumberFormat="1" applyAlignment="1">
      <alignment vertical="top"/>
    </xf>
    <xf numFmtId="37" fontId="5" fillId="0" borderId="0" xfId="2" applyNumberFormat="1" applyFont="1" applyFill="1" applyBorder="1">
      <alignment vertical="top"/>
    </xf>
    <xf numFmtId="0" fontId="0" fillId="0" borderId="0" xfId="0" applyBorder="1"/>
    <xf numFmtId="37" fontId="5" fillId="0" borderId="0" xfId="2" applyNumberFormat="1" applyFont="1" applyBorder="1">
      <alignment vertical="top"/>
    </xf>
    <xf numFmtId="37" fontId="0" fillId="0" borderId="2" xfId="0" applyNumberFormat="1" applyBorder="1"/>
    <xf numFmtId="0" fontId="5" fillId="0" borderId="0" xfId="2">
      <alignment vertical="top"/>
    </xf>
    <xf numFmtId="0" fontId="5" fillId="0" borderId="0" xfId="2" applyFont="1">
      <alignment vertical="top"/>
    </xf>
    <xf numFmtId="37" fontId="5" fillId="0" borderId="0" xfId="2" applyNumberFormat="1" applyFont="1">
      <alignment vertical="top"/>
    </xf>
    <xf numFmtId="42" fontId="5" fillId="0" borderId="0" xfId="2" applyNumberFormat="1" applyFont="1">
      <alignment vertical="top"/>
    </xf>
    <xf numFmtId="44" fontId="5" fillId="0" borderId="0" xfId="2" applyNumberFormat="1" applyFont="1">
      <alignment vertical="top"/>
    </xf>
    <xf numFmtId="0" fontId="5" fillId="0" borderId="0" xfId="2">
      <alignment vertical="top"/>
    </xf>
    <xf numFmtId="0" fontId="5" fillId="0" borderId="0" xfId="2" applyFont="1">
      <alignment vertical="top"/>
    </xf>
    <xf numFmtId="37" fontId="5" fillId="0" borderId="0" xfId="2" applyNumberFormat="1" applyFont="1">
      <alignment vertical="top"/>
    </xf>
    <xf numFmtId="42" fontId="5" fillId="0" borderId="0" xfId="2" applyNumberFormat="1" applyFont="1">
      <alignment vertical="top"/>
    </xf>
    <xf numFmtId="44" fontId="5" fillId="0" borderId="0" xfId="2" applyNumberFormat="1" applyFont="1">
      <alignment vertical="top"/>
    </xf>
    <xf numFmtId="0" fontId="5" fillId="0" borderId="0" xfId="2">
      <alignment vertical="top"/>
    </xf>
    <xf numFmtId="0" fontId="5" fillId="0" borderId="0" xfId="2" applyFont="1">
      <alignment vertical="top"/>
    </xf>
    <xf numFmtId="37" fontId="5" fillId="0" borderId="0" xfId="2" applyNumberFormat="1" applyFont="1">
      <alignment vertical="top"/>
    </xf>
    <xf numFmtId="42" fontId="5" fillId="0" borderId="0" xfId="2" applyNumberFormat="1" applyFont="1">
      <alignment vertical="top"/>
    </xf>
    <xf numFmtId="44" fontId="5" fillId="0" borderId="0" xfId="2" applyNumberFormat="1" applyFont="1">
      <alignment vertical="top"/>
    </xf>
    <xf numFmtId="0" fontId="5" fillId="3" borderId="0" xfId="2" applyFont="1" applyFill="1">
      <alignment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8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2" applyFont="1" applyBorder="1">
      <alignment vertical="top"/>
    </xf>
    <xf numFmtId="0" fontId="5" fillId="0" borderId="9" xfId="2" applyFont="1" applyBorder="1">
      <alignment vertical="top"/>
    </xf>
    <xf numFmtId="0" fontId="0" fillId="0" borderId="0" xfId="0" applyBorder="1" applyAlignment="1">
      <alignment vertical="top"/>
    </xf>
    <xf numFmtId="0" fontId="5" fillId="0" borderId="0" xfId="2" applyBorder="1">
      <alignment vertical="top"/>
    </xf>
    <xf numFmtId="0" fontId="5" fillId="0" borderId="9" xfId="2" applyBorder="1">
      <alignment vertical="top"/>
    </xf>
    <xf numFmtId="42" fontId="5" fillId="0" borderId="0" xfId="0" applyNumberFormat="1" applyFont="1" applyBorder="1" applyAlignment="1">
      <alignment vertical="top"/>
    </xf>
    <xf numFmtId="42" fontId="5" fillId="0" borderId="0" xfId="2" applyNumberFormat="1" applyFont="1" applyBorder="1">
      <alignment vertical="top"/>
    </xf>
    <xf numFmtId="42" fontId="5" fillId="0" borderId="9" xfId="2" applyNumberFormat="1" applyFont="1" applyBorder="1">
      <alignment vertical="top"/>
    </xf>
    <xf numFmtId="37" fontId="5" fillId="0" borderId="0" xfId="0" applyNumberFormat="1" applyFont="1" applyBorder="1" applyAlignment="1">
      <alignment vertical="top"/>
    </xf>
    <xf numFmtId="0" fontId="0" fillId="0" borderId="9" xfId="0" applyBorder="1"/>
    <xf numFmtId="37" fontId="5" fillId="0" borderId="9" xfId="2" applyNumberFormat="1" applyFont="1" applyBorder="1">
      <alignment vertical="top"/>
    </xf>
    <xf numFmtId="0" fontId="0" fillId="0" borderId="8" xfId="0" applyBorder="1"/>
    <xf numFmtId="0" fontId="5" fillId="0" borderId="0" xfId="2" applyFont="1" applyFill="1" applyBorder="1">
      <alignment vertical="top"/>
    </xf>
    <xf numFmtId="43" fontId="5" fillId="0" borderId="0" xfId="0" applyNumberFormat="1" applyFont="1" applyBorder="1" applyAlignment="1">
      <alignment vertical="top"/>
    </xf>
    <xf numFmtId="43" fontId="5" fillId="0" borderId="0" xfId="2" applyNumberFormat="1" applyFont="1" applyBorder="1">
      <alignment vertical="top"/>
    </xf>
    <xf numFmtId="43" fontId="5" fillId="0" borderId="9" xfId="2" applyNumberFormat="1" applyFont="1" applyBorder="1">
      <alignment vertical="top"/>
    </xf>
    <xf numFmtId="0" fontId="5" fillId="0" borderId="10" xfId="0" applyFont="1" applyBorder="1" applyAlignment="1">
      <alignment vertical="top"/>
    </xf>
    <xf numFmtId="42" fontId="5" fillId="0" borderId="3" xfId="0" applyNumberFormat="1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3" xfId="2" applyFont="1" applyBorder="1">
      <alignment vertical="top"/>
    </xf>
    <xf numFmtId="42" fontId="5" fillId="0" borderId="3" xfId="2" applyNumberFormat="1" applyFont="1" applyBorder="1">
      <alignment vertical="top"/>
    </xf>
    <xf numFmtId="42" fontId="5" fillId="0" borderId="11" xfId="2" applyNumberFormat="1" applyFont="1" applyBorder="1">
      <alignment vertical="top"/>
    </xf>
    <xf numFmtId="0" fontId="6" fillId="0" borderId="0" xfId="2" applyFont="1" applyBorder="1">
      <alignment vertical="top"/>
    </xf>
    <xf numFmtId="0" fontId="6" fillId="0" borderId="0" xfId="2" applyFont="1" applyFill="1" applyBorder="1">
      <alignment vertical="top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9" fillId="0" borderId="0" xfId="2" applyFont="1">
      <alignment vertical="top"/>
    </xf>
    <xf numFmtId="0" fontId="5" fillId="0" borderId="0" xfId="2" applyFont="1" applyAlignment="1">
      <alignment horizontal="left" vertical="top" indent="1"/>
    </xf>
    <xf numFmtId="42" fontId="5" fillId="0" borderId="2" xfId="2" applyNumberFormat="1" applyFont="1" applyBorder="1">
      <alignment vertical="top"/>
    </xf>
    <xf numFmtId="37" fontId="5" fillId="0" borderId="3" xfId="0" applyNumberFormat="1" applyFont="1" applyBorder="1" applyAlignment="1">
      <alignment vertical="top"/>
    </xf>
    <xf numFmtId="42" fontId="6" fillId="0" borderId="0" xfId="2" applyNumberFormat="1" applyFont="1" applyFill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5" fillId="0" borderId="0" xfId="2" applyFont="1" applyAlignment="1">
      <alignment horizontal="left" vertical="top" indent="2"/>
    </xf>
    <xf numFmtId="0" fontId="10" fillId="0" borderId="0" xfId="0" applyFont="1"/>
    <xf numFmtId="14" fontId="10" fillId="0" borderId="0" xfId="0" applyNumberFormat="1" applyFont="1"/>
    <xf numFmtId="0" fontId="11" fillId="2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indent="2"/>
    </xf>
    <xf numFmtId="0" fontId="13" fillId="0" borderId="0" xfId="0" applyFont="1"/>
    <xf numFmtId="0" fontId="6" fillId="0" borderId="0" xfId="2" applyFont="1" applyAlignment="1">
      <alignment horizontal="left" vertical="top" indent="2"/>
    </xf>
    <xf numFmtId="43" fontId="6" fillId="0" borderId="0" xfId="0" applyNumberFormat="1" applyFont="1" applyAlignment="1">
      <alignment horizontal="center" vertical="center"/>
    </xf>
    <xf numFmtId="43" fontId="6" fillId="0" borderId="0" xfId="2" applyNumberFormat="1" applyFont="1" applyAlignment="1">
      <alignment horizontal="center" vertical="center"/>
    </xf>
    <xf numFmtId="42" fontId="6" fillId="0" borderId="0" xfId="0" applyNumberFormat="1" applyFont="1" applyAlignment="1">
      <alignment horizontal="center" vertical="center"/>
    </xf>
    <xf numFmtId="42" fontId="6" fillId="0" borderId="0" xfId="2" applyNumberFormat="1" applyFont="1" applyAlignment="1">
      <alignment horizontal="center" vertical="center"/>
    </xf>
    <xf numFmtId="37" fontId="6" fillId="0" borderId="0" xfId="2" applyNumberFormat="1" applyFont="1" applyAlignment="1">
      <alignment horizontal="center" vertical="center"/>
    </xf>
    <xf numFmtId="37" fontId="6" fillId="0" borderId="0" xfId="0" applyNumberFormat="1" applyFont="1" applyAlignment="1">
      <alignment horizontal="center" vertical="center"/>
    </xf>
    <xf numFmtId="37" fontId="6" fillId="0" borderId="1" xfId="0" applyNumberFormat="1" applyFont="1" applyBorder="1" applyAlignment="1">
      <alignment horizontal="center" vertical="center"/>
    </xf>
    <xf numFmtId="37" fontId="6" fillId="0" borderId="1" xfId="2" applyNumberFormat="1" applyFont="1" applyBorder="1" applyAlignment="1">
      <alignment horizontal="center" vertical="center"/>
    </xf>
    <xf numFmtId="37" fontId="6" fillId="0" borderId="2" xfId="0" applyNumberFormat="1" applyFont="1" applyBorder="1" applyAlignment="1">
      <alignment horizontal="center" vertical="center"/>
    </xf>
    <xf numFmtId="37" fontId="6" fillId="0" borderId="2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6" fillId="0" borderId="4" xfId="2" applyNumberFormat="1" applyFont="1" applyBorder="1" applyAlignment="1">
      <alignment horizontal="center" vertical="center"/>
    </xf>
    <xf numFmtId="42" fontId="6" fillId="0" borderId="2" xfId="2" applyNumberFormat="1" applyFont="1" applyBorder="1" applyAlignment="1">
      <alignment horizontal="center" vertical="center"/>
    </xf>
    <xf numFmtId="37" fontId="6" fillId="0" borderId="3" xfId="0" applyNumberFormat="1" applyFont="1" applyBorder="1" applyAlignment="1">
      <alignment horizontal="center" vertical="center"/>
    </xf>
    <xf numFmtId="37" fontId="6" fillId="0" borderId="3" xfId="2" applyNumberFormat="1" applyFont="1" applyBorder="1" applyAlignment="1">
      <alignment horizontal="center" vertical="center"/>
    </xf>
    <xf numFmtId="37" fontId="6" fillId="0" borderId="12" xfId="0" applyNumberFormat="1" applyFont="1" applyBorder="1" applyAlignment="1">
      <alignment horizontal="center" vertical="center"/>
    </xf>
    <xf numFmtId="37" fontId="6" fillId="0" borderId="12" xfId="2" applyNumberFormat="1" applyFont="1" applyBorder="1" applyAlignment="1">
      <alignment horizontal="center" vertical="center"/>
    </xf>
    <xf numFmtId="42" fontId="6" fillId="0" borderId="13" xfId="0" applyNumberFormat="1" applyFont="1" applyBorder="1" applyAlignment="1">
      <alignment horizontal="center" vertical="center"/>
    </xf>
    <xf numFmtId="42" fontId="6" fillId="0" borderId="13" xfId="2" applyNumberFormat="1" applyFont="1" applyBorder="1" applyAlignment="1">
      <alignment horizontal="center" vertical="center"/>
    </xf>
    <xf numFmtId="44" fontId="6" fillId="0" borderId="0" xfId="0" applyNumberFormat="1" applyFont="1" applyAlignment="1">
      <alignment horizontal="center" vertical="center"/>
    </xf>
    <xf numFmtId="44" fontId="6" fillId="0" borderId="0" xfId="2" applyNumberFormat="1" applyFont="1" applyAlignment="1">
      <alignment horizontal="center" vertical="center"/>
    </xf>
    <xf numFmtId="37" fontId="6" fillId="0" borderId="0" xfId="2" applyNumberFormat="1" applyFont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center"/>
    </xf>
    <xf numFmtId="37" fontId="12" fillId="0" borderId="2" xfId="0" applyNumberFormat="1" applyFont="1" applyBorder="1" applyAlignment="1">
      <alignment horizontal="center" vertical="center"/>
    </xf>
    <xf numFmtId="37" fontId="12" fillId="0" borderId="0" xfId="0" applyNumberFormat="1" applyFont="1" applyAlignment="1">
      <alignment vertical="top"/>
    </xf>
    <xf numFmtId="37" fontId="1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9" fillId="0" borderId="0" xfId="0" applyFont="1" applyBorder="1" applyAlignment="1">
      <alignment vertical="top"/>
    </xf>
    <xf numFmtId="0" fontId="9" fillId="0" borderId="0" xfId="2" applyFont="1" applyBorder="1">
      <alignment vertical="top"/>
    </xf>
    <xf numFmtId="0" fontId="9" fillId="0" borderId="9" xfId="2" applyFont="1" applyBorder="1">
      <alignment vertical="top"/>
    </xf>
  </cellXfs>
  <cellStyles count="3">
    <cellStyle name="40% - Accent1" xfId="1" builtinId="31"/>
    <cellStyle name="Normal" xfId="0" builtinId="0"/>
    <cellStyle name="Normal 2" xfId="2" xr:uid="{DB3E6A62-CB42-4614-B3C7-8AB628FBCD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B418-217A-4CD0-A805-618276FA9935}">
  <sheetPr>
    <tabColor theme="4" tint="0.39997558519241921"/>
  </sheetPr>
  <dimension ref="A1:M109"/>
  <sheetViews>
    <sheetView tabSelected="1" zoomScaleNormal="100" workbookViewId="0">
      <selection activeCell="N16" sqref="N16"/>
    </sheetView>
  </sheetViews>
  <sheetFormatPr defaultRowHeight="15" x14ac:dyDescent="0.25"/>
  <cols>
    <col min="1" max="1" width="53.140625" bestFit="1" customWidth="1"/>
    <col min="2" max="4" width="9.140625" customWidth="1"/>
    <col min="5" max="5" width="9.42578125" customWidth="1"/>
    <col min="6" max="8" width="9.140625" customWidth="1"/>
    <col min="9" max="9" width="10.140625" customWidth="1"/>
    <col min="10" max="12" width="9.140625" customWidth="1"/>
    <col min="13" max="13" width="12" customWidth="1"/>
    <col min="14" max="14" width="56" bestFit="1" customWidth="1"/>
    <col min="15" max="16" width="9.140625" customWidth="1"/>
    <col min="17" max="17" width="56" bestFit="1" customWidth="1"/>
    <col min="18" max="18" width="9.140625" customWidth="1"/>
    <col min="20" max="20" width="57.7109375" bestFit="1" customWidth="1"/>
    <col min="23" max="23" width="58.140625" bestFit="1" customWidth="1"/>
    <col min="26" max="26" width="66" bestFit="1" customWidth="1"/>
  </cols>
  <sheetData>
    <row r="1" spans="1:11" x14ac:dyDescent="0.25">
      <c r="A1" s="102" t="s">
        <v>129</v>
      </c>
      <c r="B1" s="103">
        <v>44013</v>
      </c>
      <c r="C1" s="102"/>
      <c r="D1" s="102"/>
      <c r="E1" s="102"/>
      <c r="F1" s="102"/>
      <c r="G1" s="102"/>
      <c r="H1" s="102"/>
      <c r="I1" s="102"/>
      <c r="J1" s="102"/>
      <c r="K1" s="102"/>
    </row>
    <row r="2" spans="1:11" ht="15.75" x14ac:dyDescent="0.25">
      <c r="A2" s="102"/>
      <c r="B2" s="104" t="s">
        <v>1</v>
      </c>
      <c r="C2" s="104"/>
      <c r="D2" s="104"/>
      <c r="E2" s="104"/>
      <c r="F2" s="104"/>
      <c r="G2" s="104"/>
      <c r="H2" s="104"/>
      <c r="I2" s="104"/>
      <c r="J2" s="104"/>
      <c r="K2" s="104"/>
    </row>
    <row r="3" spans="1:11" x14ac:dyDescent="0.25">
      <c r="A3" s="102"/>
      <c r="B3" s="105" t="s">
        <v>2</v>
      </c>
      <c r="C3" s="105"/>
      <c r="D3" s="105"/>
      <c r="E3" s="105"/>
      <c r="F3" s="105"/>
      <c r="G3" s="105"/>
      <c r="H3" s="105"/>
      <c r="I3" s="105"/>
      <c r="J3" s="105"/>
      <c r="K3" s="105"/>
    </row>
    <row r="4" spans="1:11" x14ac:dyDescent="0.25">
      <c r="A4" s="102"/>
      <c r="B4" s="106" t="s">
        <v>3</v>
      </c>
      <c r="C4" s="106"/>
      <c r="D4" s="106"/>
      <c r="E4" s="106"/>
      <c r="F4" s="106"/>
      <c r="G4" s="106"/>
      <c r="H4" s="106"/>
      <c r="I4" s="106"/>
      <c r="J4" s="106"/>
      <c r="K4" s="106"/>
    </row>
    <row r="5" spans="1:11" x14ac:dyDescent="0.25">
      <c r="A5" s="11" t="s">
        <v>4</v>
      </c>
      <c r="B5" s="107">
        <v>2010</v>
      </c>
      <c r="C5" s="107">
        <v>2011</v>
      </c>
      <c r="D5" s="107">
        <v>2012</v>
      </c>
      <c r="E5" s="107">
        <v>2013</v>
      </c>
      <c r="F5" s="107">
        <v>2014</v>
      </c>
      <c r="G5" s="107">
        <v>2015</v>
      </c>
      <c r="H5" s="107">
        <v>2016</v>
      </c>
      <c r="I5" s="107">
        <v>2017</v>
      </c>
      <c r="J5" s="107">
        <v>2018</v>
      </c>
      <c r="K5" s="107">
        <v>2019</v>
      </c>
    </row>
    <row r="6" spans="1:11" x14ac:dyDescent="0.25">
      <c r="A6" s="140" t="s">
        <v>5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</row>
    <row r="7" spans="1:11" x14ac:dyDescent="0.25">
      <c r="A7" s="17" t="s">
        <v>6</v>
      </c>
      <c r="B7" s="135"/>
      <c r="C7" s="135"/>
      <c r="D7" s="135"/>
      <c r="E7" s="135"/>
      <c r="F7" s="25"/>
      <c r="G7" s="25"/>
      <c r="H7" s="25"/>
      <c r="I7" s="25"/>
      <c r="J7" s="25"/>
      <c r="K7" s="25"/>
    </row>
    <row r="8" spans="1:11" x14ac:dyDescent="0.25">
      <c r="A8" s="21" t="s">
        <v>7</v>
      </c>
      <c r="B8" s="113">
        <v>2892</v>
      </c>
      <c r="C8" s="113">
        <v>2657</v>
      </c>
      <c r="D8" s="113">
        <v>2416</v>
      </c>
      <c r="E8" s="113">
        <v>2844</v>
      </c>
      <c r="F8" s="114">
        <v>2088</v>
      </c>
      <c r="G8" s="114">
        <v>1972</v>
      </c>
      <c r="H8" s="114">
        <v>2762</v>
      </c>
      <c r="I8" s="114">
        <v>1814</v>
      </c>
      <c r="J8" s="114">
        <v>1565</v>
      </c>
      <c r="K8" s="114">
        <v>2882</v>
      </c>
    </row>
    <row r="9" spans="1:11" x14ac:dyDescent="0.25">
      <c r="A9" s="21" t="s">
        <v>8</v>
      </c>
      <c r="B9" s="116">
        <v>718</v>
      </c>
      <c r="C9" s="116">
        <v>958</v>
      </c>
      <c r="D9" s="116">
        <v>958</v>
      </c>
      <c r="E9" s="116">
        <v>959</v>
      </c>
      <c r="F9" s="115">
        <v>1217</v>
      </c>
      <c r="G9" s="115">
        <v>1465</v>
      </c>
      <c r="H9" s="115">
        <v>487</v>
      </c>
      <c r="I9" s="115">
        <v>825</v>
      </c>
      <c r="J9" s="111">
        <v>0</v>
      </c>
      <c r="K9" s="111">
        <v>0</v>
      </c>
    </row>
    <row r="10" spans="1:11" ht="25.5" x14ac:dyDescent="0.25">
      <c r="A10" s="24" t="s">
        <v>130</v>
      </c>
      <c r="B10" s="116">
        <v>409</v>
      </c>
      <c r="C10" s="116">
        <v>305</v>
      </c>
      <c r="D10" s="116">
        <v>375</v>
      </c>
      <c r="E10" s="116">
        <v>122</v>
      </c>
      <c r="F10" s="111">
        <v>0</v>
      </c>
      <c r="G10" s="111">
        <v>0</v>
      </c>
      <c r="H10" s="111">
        <v>0</v>
      </c>
      <c r="I10" s="111">
        <v>0</v>
      </c>
      <c r="J10" s="111">
        <v>0</v>
      </c>
      <c r="K10" s="111">
        <v>0</v>
      </c>
    </row>
    <row r="11" spans="1:11" ht="25.5" x14ac:dyDescent="0.25">
      <c r="A11" s="24" t="s">
        <v>131</v>
      </c>
      <c r="B11" s="116">
        <v>1456</v>
      </c>
      <c r="C11" s="116">
        <v>1563</v>
      </c>
      <c r="D11" s="116">
        <v>1693</v>
      </c>
      <c r="E11" s="116">
        <v>1609</v>
      </c>
      <c r="F11" s="115">
        <v>2297</v>
      </c>
      <c r="G11" s="115">
        <v>2020</v>
      </c>
      <c r="H11" s="115">
        <v>2064</v>
      </c>
      <c r="I11" s="115">
        <v>2377</v>
      </c>
      <c r="J11" s="115">
        <v>2314</v>
      </c>
      <c r="K11" s="115">
        <v>2854</v>
      </c>
    </row>
    <row r="12" spans="1:11" x14ac:dyDescent="0.25">
      <c r="A12" s="21" t="s">
        <v>56</v>
      </c>
      <c r="B12" s="111">
        <v>0</v>
      </c>
      <c r="C12" s="111">
        <v>0</v>
      </c>
      <c r="D12" s="116">
        <v>619</v>
      </c>
      <c r="E12" s="116">
        <v>706</v>
      </c>
      <c r="F12" s="115">
        <v>534</v>
      </c>
      <c r="G12" s="115">
        <v>379</v>
      </c>
      <c r="H12" s="115">
        <v>519</v>
      </c>
      <c r="I12" s="115">
        <v>916</v>
      </c>
      <c r="J12" s="115">
        <v>592</v>
      </c>
      <c r="K12" s="115">
        <v>730</v>
      </c>
    </row>
    <row r="13" spans="1:11" x14ac:dyDescent="0.25">
      <c r="A13" s="21" t="s">
        <v>71</v>
      </c>
      <c r="B13" s="111">
        <v>0</v>
      </c>
      <c r="C13" s="111">
        <v>0</v>
      </c>
      <c r="D13" s="111">
        <v>0</v>
      </c>
      <c r="E13" s="111">
        <v>0</v>
      </c>
      <c r="F13" s="115">
        <v>925</v>
      </c>
      <c r="G13" s="115">
        <v>119</v>
      </c>
      <c r="H13" s="111">
        <v>0</v>
      </c>
      <c r="I13" s="111">
        <v>0</v>
      </c>
      <c r="J13" s="111">
        <v>0</v>
      </c>
      <c r="K13" s="111">
        <v>0</v>
      </c>
    </row>
    <row r="14" spans="1:11" ht="38.25" x14ac:dyDescent="0.25">
      <c r="A14" s="26" t="s">
        <v>135</v>
      </c>
      <c r="B14" s="116">
        <v>318</v>
      </c>
      <c r="C14" s="116">
        <v>367</v>
      </c>
      <c r="D14" s="116">
        <v>404</v>
      </c>
      <c r="E14" s="116">
        <v>357</v>
      </c>
      <c r="F14" s="115">
        <v>318</v>
      </c>
      <c r="G14" s="115">
        <v>318</v>
      </c>
      <c r="H14" s="115">
        <v>372</v>
      </c>
      <c r="I14" s="115">
        <v>413</v>
      </c>
      <c r="J14" s="115">
        <v>463</v>
      </c>
      <c r="K14" s="115">
        <v>521</v>
      </c>
    </row>
    <row r="15" spans="1:11" x14ac:dyDescent="0.25">
      <c r="A15" s="21" t="s">
        <v>122</v>
      </c>
      <c r="B15" s="111">
        <v>0</v>
      </c>
      <c r="C15" s="111">
        <v>0</v>
      </c>
      <c r="D15" s="111">
        <v>0</v>
      </c>
      <c r="E15" s="111">
        <v>0</v>
      </c>
      <c r="F15" s="115">
        <v>1078</v>
      </c>
      <c r="G15" s="115">
        <v>1987</v>
      </c>
      <c r="H15" s="111">
        <v>0</v>
      </c>
      <c r="I15" s="111">
        <v>0</v>
      </c>
      <c r="J15" s="111">
        <v>0</v>
      </c>
      <c r="K15" s="111">
        <v>0</v>
      </c>
    </row>
    <row r="16" spans="1:11" x14ac:dyDescent="0.25">
      <c r="A16" s="21" t="s">
        <v>16</v>
      </c>
      <c r="B16" s="116">
        <v>355</v>
      </c>
      <c r="C16" s="116">
        <v>461</v>
      </c>
      <c r="D16" s="116">
        <v>463</v>
      </c>
      <c r="E16" s="116">
        <v>1736</v>
      </c>
      <c r="F16" s="111">
        <v>0</v>
      </c>
      <c r="G16" s="111">
        <v>0</v>
      </c>
      <c r="H16" s="111">
        <v>0</v>
      </c>
      <c r="I16" s="111">
        <v>0</v>
      </c>
      <c r="J16" s="111">
        <v>0</v>
      </c>
      <c r="K16" s="111">
        <v>0</v>
      </c>
    </row>
    <row r="17" spans="1:13" x14ac:dyDescent="0.25">
      <c r="A17" s="21" t="s">
        <v>17</v>
      </c>
      <c r="B17" s="117">
        <v>1159</v>
      </c>
      <c r="C17" s="117">
        <v>1418</v>
      </c>
      <c r="D17" s="117">
        <v>1344</v>
      </c>
      <c r="E17" s="117">
        <v>1318</v>
      </c>
      <c r="F17" s="118">
        <v>701</v>
      </c>
      <c r="G17" s="118">
        <v>796</v>
      </c>
      <c r="H17" s="118">
        <v>1247</v>
      </c>
      <c r="I17" s="118">
        <v>1499</v>
      </c>
      <c r="J17" s="118">
        <v>1406</v>
      </c>
      <c r="K17" s="118">
        <v>1262</v>
      </c>
    </row>
    <row r="18" spans="1:13" x14ac:dyDescent="0.25">
      <c r="A18" s="108" t="s">
        <v>18</v>
      </c>
      <c r="B18" s="119">
        <v>7307</v>
      </c>
      <c r="C18" s="119">
        <v>7729</v>
      </c>
      <c r="D18" s="119">
        <v>8272</v>
      </c>
      <c r="E18" s="119">
        <v>9651</v>
      </c>
      <c r="F18" s="120">
        <v>9158</v>
      </c>
      <c r="G18" s="120">
        <v>9056</v>
      </c>
      <c r="H18" s="120">
        <v>7451</v>
      </c>
      <c r="I18" s="120">
        <v>7844</v>
      </c>
      <c r="J18" s="120">
        <v>6340</v>
      </c>
      <c r="K18" s="120">
        <v>8249</v>
      </c>
    </row>
    <row r="19" spans="1:13" x14ac:dyDescent="0.25">
      <c r="A19" s="17" t="s">
        <v>98</v>
      </c>
      <c r="B19" s="136"/>
      <c r="C19" s="136"/>
      <c r="D19" s="136"/>
      <c r="E19" s="136"/>
      <c r="F19" s="122"/>
      <c r="G19" s="122"/>
      <c r="H19" s="122"/>
      <c r="I19" s="122"/>
      <c r="J19" s="136"/>
      <c r="K19" s="136"/>
    </row>
    <row r="20" spans="1:13" x14ac:dyDescent="0.25">
      <c r="A20" s="27" t="s">
        <v>136</v>
      </c>
      <c r="B20" s="116">
        <v>20307</v>
      </c>
      <c r="C20" s="116">
        <v>20223</v>
      </c>
      <c r="D20" s="116">
        <v>20713</v>
      </c>
      <c r="E20" s="116">
        <v>21854</v>
      </c>
      <c r="F20" s="115">
        <v>21929</v>
      </c>
      <c r="G20" s="115">
        <v>23039</v>
      </c>
      <c r="H20" s="115">
        <v>24375</v>
      </c>
      <c r="I20" s="115">
        <v>26563</v>
      </c>
      <c r="J20" s="115">
        <v>28335</v>
      </c>
      <c r="K20" s="115">
        <v>31310</v>
      </c>
    </row>
    <row r="21" spans="1:13" x14ac:dyDescent="0.25">
      <c r="A21" s="21" t="s">
        <v>99</v>
      </c>
      <c r="B21" s="111">
        <v>0</v>
      </c>
      <c r="C21" s="111">
        <v>0</v>
      </c>
      <c r="D21" s="111">
        <v>0</v>
      </c>
      <c r="E21" s="111">
        <v>0</v>
      </c>
      <c r="F21" s="111">
        <v>0</v>
      </c>
      <c r="G21" s="111">
        <v>0</v>
      </c>
      <c r="H21" s="111">
        <v>0</v>
      </c>
      <c r="I21" s="111">
        <v>0</v>
      </c>
      <c r="J21" s="134">
        <v>5994</v>
      </c>
      <c r="K21" s="134">
        <v>5627</v>
      </c>
    </row>
    <row r="22" spans="1:13" x14ac:dyDescent="0.25">
      <c r="A22" s="108" t="s">
        <v>101</v>
      </c>
      <c r="B22" s="137">
        <f>SUM(B20:B21)</f>
        <v>20307</v>
      </c>
      <c r="C22" s="137">
        <f>SUM(C20:C21)</f>
        <v>20223</v>
      </c>
      <c r="D22" s="137">
        <f>SUM(D20:D21)</f>
        <v>20713</v>
      </c>
      <c r="E22" s="137">
        <f>SUM(E20:E21)</f>
        <v>21854</v>
      </c>
      <c r="F22" s="137">
        <f>SUM(F20:F21)</f>
        <v>21929</v>
      </c>
      <c r="G22" s="137">
        <f>SUM(G20:G21)</f>
        <v>23039</v>
      </c>
      <c r="H22" s="137">
        <f>SUM(H20:H21)</f>
        <v>24375</v>
      </c>
      <c r="I22" s="137">
        <f>SUM(I20:I21)</f>
        <v>26563</v>
      </c>
      <c r="J22" s="137">
        <f>SUM(J20:J21)</f>
        <v>34329</v>
      </c>
      <c r="K22" s="137">
        <f>SUM(K20:K21)</f>
        <v>36937</v>
      </c>
    </row>
    <row r="23" spans="1:13" x14ac:dyDescent="0.25">
      <c r="A23" s="17" t="s">
        <v>22</v>
      </c>
      <c r="B23" s="136"/>
      <c r="C23" s="136"/>
      <c r="D23" s="136"/>
      <c r="E23" s="136"/>
      <c r="F23" s="122"/>
      <c r="G23" s="122"/>
      <c r="H23" s="122"/>
      <c r="I23" s="122"/>
      <c r="J23" s="136"/>
      <c r="K23" s="136"/>
    </row>
    <row r="24" spans="1:13" x14ac:dyDescent="0.25">
      <c r="A24" s="21" t="s">
        <v>23</v>
      </c>
      <c r="B24" s="116">
        <v>9794</v>
      </c>
      <c r="C24" s="116">
        <v>9794</v>
      </c>
      <c r="D24" s="116">
        <v>9794</v>
      </c>
      <c r="E24" s="116">
        <v>9794</v>
      </c>
      <c r="F24" s="115">
        <v>9794</v>
      </c>
      <c r="G24" s="115">
        <v>9794</v>
      </c>
      <c r="H24" s="115">
        <v>9794</v>
      </c>
      <c r="I24" s="115">
        <v>9794</v>
      </c>
      <c r="J24" s="115">
        <v>9781</v>
      </c>
      <c r="K24" s="115">
        <v>9781</v>
      </c>
    </row>
    <row r="25" spans="1:13" x14ac:dyDescent="0.25">
      <c r="A25" s="21" t="s">
        <v>132</v>
      </c>
      <c r="B25" s="116">
        <v>4749</v>
      </c>
      <c r="C25" s="116">
        <v>4751</v>
      </c>
      <c r="D25" s="116">
        <v>4679</v>
      </c>
      <c r="E25" s="116">
        <v>4658</v>
      </c>
      <c r="F25" s="115">
        <v>4603</v>
      </c>
      <c r="G25" s="115">
        <v>4861</v>
      </c>
      <c r="H25" s="115">
        <v>4844</v>
      </c>
      <c r="I25" s="115">
        <v>4847</v>
      </c>
      <c r="J25" s="115">
        <v>4830</v>
      </c>
      <c r="K25" s="115">
        <v>5163</v>
      </c>
    </row>
    <row r="26" spans="1:13" x14ac:dyDescent="0.25">
      <c r="A26" s="21" t="s">
        <v>100</v>
      </c>
      <c r="B26" s="111">
        <v>0</v>
      </c>
      <c r="C26" s="111">
        <v>0</v>
      </c>
      <c r="D26" s="111">
        <v>0</v>
      </c>
      <c r="E26" s="111">
        <v>0</v>
      </c>
      <c r="F26" s="111">
        <v>0</v>
      </c>
      <c r="G26" s="111">
        <v>0</v>
      </c>
      <c r="H26" s="111">
        <v>0</v>
      </c>
      <c r="I26" s="111">
        <v>0</v>
      </c>
      <c r="J26" s="115">
        <v>1136</v>
      </c>
      <c r="K26" s="115">
        <v>636</v>
      </c>
    </row>
    <row r="27" spans="1:13" x14ac:dyDescent="0.25">
      <c r="A27" s="21" t="s">
        <v>16</v>
      </c>
      <c r="B27" s="111">
        <v>0</v>
      </c>
      <c r="C27" s="111">
        <v>0</v>
      </c>
      <c r="D27" s="111">
        <v>0</v>
      </c>
      <c r="E27" s="116">
        <v>4992</v>
      </c>
      <c r="F27" s="115">
        <v>7595</v>
      </c>
      <c r="G27" s="115">
        <v>4956</v>
      </c>
      <c r="H27" s="115">
        <v>3064</v>
      </c>
      <c r="I27" s="115">
        <v>935</v>
      </c>
      <c r="J27" s="111">
        <v>0</v>
      </c>
      <c r="K27" s="111">
        <v>0</v>
      </c>
    </row>
    <row r="28" spans="1:13" x14ac:dyDescent="0.25">
      <c r="A28" s="21" t="s">
        <v>26</v>
      </c>
      <c r="B28" s="117">
        <v>1031</v>
      </c>
      <c r="C28" s="117">
        <v>1002</v>
      </c>
      <c r="D28" s="117">
        <v>1092</v>
      </c>
      <c r="E28" s="117">
        <v>1303</v>
      </c>
      <c r="F28" s="118">
        <v>926</v>
      </c>
      <c r="G28" s="118">
        <v>1428</v>
      </c>
      <c r="H28" s="118">
        <v>1733</v>
      </c>
      <c r="I28" s="118">
        <v>3309</v>
      </c>
      <c r="J28" s="118">
        <v>3850</v>
      </c>
      <c r="K28" s="118">
        <v>3766</v>
      </c>
      <c r="L28" s="43"/>
      <c r="M28" s="43"/>
    </row>
    <row r="29" spans="1:13" x14ac:dyDescent="0.25">
      <c r="A29" s="108" t="s">
        <v>27</v>
      </c>
      <c r="B29" s="119">
        <v>15574</v>
      </c>
      <c r="C29" s="119">
        <v>15547</v>
      </c>
      <c r="D29" s="119">
        <v>15565</v>
      </c>
      <c r="E29" s="119">
        <v>20747</v>
      </c>
      <c r="F29" s="120">
        <v>22918</v>
      </c>
      <c r="G29" s="120">
        <v>21039</v>
      </c>
      <c r="H29" s="120">
        <v>19435</v>
      </c>
      <c r="I29" s="120">
        <v>18885</v>
      </c>
      <c r="J29" s="120">
        <v>19597</v>
      </c>
      <c r="K29" s="120">
        <v>19346</v>
      </c>
    </row>
    <row r="30" spans="1:13" ht="15.75" thickBot="1" x14ac:dyDescent="0.3">
      <c r="A30" s="11" t="s">
        <v>28</v>
      </c>
      <c r="B30" s="123">
        <v>43188</v>
      </c>
      <c r="C30" s="123">
        <v>43499</v>
      </c>
      <c r="D30" s="123">
        <v>44550</v>
      </c>
      <c r="E30" s="123">
        <v>52252</v>
      </c>
      <c r="F30" s="124">
        <v>54005</v>
      </c>
      <c r="G30" s="124">
        <v>53134</v>
      </c>
      <c r="H30" s="124">
        <v>51261</v>
      </c>
      <c r="I30" s="124">
        <v>53292</v>
      </c>
      <c r="J30" s="124">
        <v>60266</v>
      </c>
      <c r="K30" s="124">
        <v>64532</v>
      </c>
      <c r="L30" s="41"/>
    </row>
    <row r="31" spans="1:13" ht="15.75" thickTop="1" x14ac:dyDescent="0.25">
      <c r="A31" s="140" t="s">
        <v>60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41"/>
    </row>
    <row r="32" spans="1:13" x14ac:dyDescent="0.25">
      <c r="A32" s="17" t="s">
        <v>30</v>
      </c>
      <c r="B32" s="138"/>
      <c r="C32" s="138"/>
      <c r="D32" s="138"/>
      <c r="E32" s="138"/>
      <c r="F32" s="138"/>
      <c r="G32" s="138"/>
      <c r="H32" s="138"/>
      <c r="I32" s="138"/>
      <c r="J32" s="138"/>
      <c r="K32" s="138"/>
    </row>
    <row r="33" spans="1:11" x14ac:dyDescent="0.25">
      <c r="A33" s="21" t="s">
        <v>31</v>
      </c>
      <c r="B33" s="113">
        <v>2073</v>
      </c>
      <c r="C33" s="113">
        <v>1944</v>
      </c>
      <c r="D33" s="113">
        <v>1627</v>
      </c>
      <c r="E33" s="113">
        <v>1547</v>
      </c>
      <c r="F33" s="114">
        <v>1184</v>
      </c>
      <c r="G33" s="114">
        <v>1563</v>
      </c>
      <c r="H33" s="114">
        <v>1131</v>
      </c>
      <c r="I33" s="114">
        <v>2242</v>
      </c>
      <c r="J33" s="114">
        <v>1518</v>
      </c>
      <c r="K33" s="114">
        <v>2287</v>
      </c>
    </row>
    <row r="34" spans="1:11" x14ac:dyDescent="0.25">
      <c r="A34" s="21" t="s">
        <v>103</v>
      </c>
      <c r="B34" s="111">
        <v>0</v>
      </c>
      <c r="C34" s="111">
        <v>0</v>
      </c>
      <c r="D34" s="111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0</v>
      </c>
      <c r="J34" s="115">
        <v>955</v>
      </c>
      <c r="K34" s="115">
        <v>801</v>
      </c>
    </row>
    <row r="35" spans="1:11" x14ac:dyDescent="0.25">
      <c r="A35" s="21" t="s">
        <v>32</v>
      </c>
      <c r="B35" s="116">
        <v>3306</v>
      </c>
      <c r="C35" s="116">
        <v>3480</v>
      </c>
      <c r="D35" s="116">
        <v>3696</v>
      </c>
      <c r="E35" s="116">
        <v>4122</v>
      </c>
      <c r="F35" s="115">
        <v>4296</v>
      </c>
      <c r="G35" s="115">
        <v>4503</v>
      </c>
      <c r="H35" s="115">
        <v>4626</v>
      </c>
      <c r="I35" s="115">
        <v>4888</v>
      </c>
      <c r="J35" s="115">
        <v>4661</v>
      </c>
      <c r="K35" s="115">
        <v>5116</v>
      </c>
    </row>
    <row r="36" spans="1:11" x14ac:dyDescent="0.25">
      <c r="A36" s="21" t="s">
        <v>33</v>
      </c>
      <c r="B36" s="116">
        <v>1713</v>
      </c>
      <c r="C36" s="116">
        <v>1600</v>
      </c>
      <c r="D36" s="116">
        <v>2293</v>
      </c>
      <c r="E36" s="116">
        <v>2300</v>
      </c>
      <c r="F36" s="115">
        <v>2622</v>
      </c>
      <c r="G36" s="115">
        <v>2743</v>
      </c>
      <c r="H36" s="115">
        <v>2572</v>
      </c>
      <c r="I36" s="115">
        <v>3674</v>
      </c>
      <c r="J36" s="115">
        <v>2976</v>
      </c>
      <c r="K36" s="115">
        <v>3266</v>
      </c>
    </row>
    <row r="37" spans="1:11" x14ac:dyDescent="0.25">
      <c r="A37" s="21" t="s">
        <v>35</v>
      </c>
      <c r="B37" s="116">
        <v>1370</v>
      </c>
      <c r="C37" s="116">
        <v>1367</v>
      </c>
      <c r="D37" s="116">
        <v>1680</v>
      </c>
      <c r="E37" s="116">
        <v>1926</v>
      </c>
      <c r="F37" s="115">
        <v>2266</v>
      </c>
      <c r="G37" s="115">
        <v>3195</v>
      </c>
      <c r="H37" s="115">
        <v>2924</v>
      </c>
      <c r="I37" s="115">
        <v>3022</v>
      </c>
      <c r="J37" s="115">
        <v>3287</v>
      </c>
      <c r="K37" s="115">
        <v>3701</v>
      </c>
    </row>
    <row r="38" spans="1:11" x14ac:dyDescent="0.25">
      <c r="A38" s="21" t="s">
        <v>79</v>
      </c>
      <c r="B38" s="111">
        <v>0</v>
      </c>
      <c r="C38" s="111">
        <v>0</v>
      </c>
      <c r="D38" s="111">
        <v>0</v>
      </c>
      <c r="E38" s="111">
        <v>0</v>
      </c>
      <c r="F38" s="115">
        <v>2772</v>
      </c>
      <c r="G38" s="115">
        <v>2581</v>
      </c>
      <c r="H38" s="111">
        <v>0</v>
      </c>
      <c r="I38" s="111">
        <v>0</v>
      </c>
      <c r="J38" s="111">
        <v>0</v>
      </c>
      <c r="K38" s="111">
        <v>0</v>
      </c>
    </row>
    <row r="39" spans="1:11" x14ac:dyDescent="0.25">
      <c r="A39" s="21" t="s">
        <v>34</v>
      </c>
      <c r="B39" s="116">
        <v>1690</v>
      </c>
      <c r="C39" s="116">
        <v>1849</v>
      </c>
      <c r="D39" s="116">
        <v>1806</v>
      </c>
      <c r="E39" s="116">
        <v>1861</v>
      </c>
      <c r="F39" s="115">
        <v>1580</v>
      </c>
      <c r="G39" s="115">
        <v>1635</v>
      </c>
      <c r="H39" s="115">
        <v>1648</v>
      </c>
      <c r="I39" s="115">
        <v>1822</v>
      </c>
      <c r="J39" s="115">
        <v>2989</v>
      </c>
      <c r="K39" s="115">
        <v>3219</v>
      </c>
    </row>
    <row r="40" spans="1:11" x14ac:dyDescent="0.25">
      <c r="A40" s="21" t="s">
        <v>36</v>
      </c>
      <c r="B40" s="116">
        <v>579</v>
      </c>
      <c r="C40" s="116">
        <v>594</v>
      </c>
      <c r="D40" s="116">
        <v>585</v>
      </c>
      <c r="E40" s="116">
        <v>673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</row>
    <row r="41" spans="1:11" x14ac:dyDescent="0.25">
      <c r="A41" s="21" t="s">
        <v>61</v>
      </c>
      <c r="B41" s="111">
        <v>0</v>
      </c>
      <c r="C41" s="111">
        <v>0</v>
      </c>
      <c r="D41" s="116">
        <v>455</v>
      </c>
      <c r="E41" s="116">
        <v>602</v>
      </c>
      <c r="F41" s="111">
        <v>0</v>
      </c>
      <c r="G41" s="111">
        <v>0</v>
      </c>
      <c r="H41" s="115">
        <v>431</v>
      </c>
      <c r="I41" s="115">
        <v>1067</v>
      </c>
      <c r="J41" s="115">
        <v>1075</v>
      </c>
      <c r="K41" s="115">
        <v>736</v>
      </c>
    </row>
    <row r="42" spans="1:11" x14ac:dyDescent="0.25">
      <c r="A42" s="21" t="s">
        <v>37</v>
      </c>
      <c r="B42" s="117">
        <v>654</v>
      </c>
      <c r="C42" s="117">
        <v>1867</v>
      </c>
      <c r="D42" s="117">
        <v>1128</v>
      </c>
      <c r="E42" s="117">
        <v>1121</v>
      </c>
      <c r="F42" s="118">
        <v>2127</v>
      </c>
      <c r="G42" s="118">
        <v>1306</v>
      </c>
      <c r="H42" s="118">
        <v>1907</v>
      </c>
      <c r="I42" s="118">
        <v>1858</v>
      </c>
      <c r="J42" s="118">
        <v>1117</v>
      </c>
      <c r="K42" s="118">
        <v>1078</v>
      </c>
    </row>
    <row r="43" spans="1:11" x14ac:dyDescent="0.25">
      <c r="A43" s="108" t="s">
        <v>38</v>
      </c>
      <c r="B43" s="119">
        <v>11385</v>
      </c>
      <c r="C43" s="119">
        <v>12701</v>
      </c>
      <c r="D43" s="119">
        <v>13270</v>
      </c>
      <c r="E43" s="119">
        <v>14152</v>
      </c>
      <c r="F43" s="120">
        <v>16847</v>
      </c>
      <c r="G43" s="120">
        <v>17526</v>
      </c>
      <c r="H43" s="120">
        <v>15239</v>
      </c>
      <c r="I43" s="120">
        <v>18573</v>
      </c>
      <c r="J43" s="120">
        <v>18578</v>
      </c>
      <c r="K43" s="120">
        <v>20204</v>
      </c>
    </row>
    <row r="44" spans="1:11" x14ac:dyDescent="0.25">
      <c r="A44" s="17" t="s">
        <v>39</v>
      </c>
      <c r="B44" s="136"/>
      <c r="C44" s="136"/>
      <c r="D44" s="136"/>
      <c r="E44" s="136"/>
      <c r="F44" s="122"/>
      <c r="G44" s="122"/>
      <c r="H44" s="122"/>
      <c r="I44" s="122"/>
      <c r="J44" s="122"/>
      <c r="K44" s="122"/>
    </row>
    <row r="45" spans="1:11" x14ac:dyDescent="0.25">
      <c r="A45" s="21" t="s">
        <v>40</v>
      </c>
      <c r="B45" s="116">
        <v>13179</v>
      </c>
      <c r="C45" s="116">
        <v>11847</v>
      </c>
      <c r="D45" s="116">
        <v>11082</v>
      </c>
      <c r="E45" s="116">
        <v>9795</v>
      </c>
      <c r="F45" s="115">
        <v>8477</v>
      </c>
      <c r="G45" s="115">
        <v>6766</v>
      </c>
      <c r="H45" s="115">
        <v>6201</v>
      </c>
      <c r="I45" s="115">
        <v>6592</v>
      </c>
      <c r="J45" s="115">
        <v>8253</v>
      </c>
      <c r="K45" s="115">
        <v>8873</v>
      </c>
    </row>
    <row r="46" spans="1:11" x14ac:dyDescent="0.25">
      <c r="A46" s="21" t="s">
        <v>41</v>
      </c>
      <c r="B46" s="116">
        <v>11493</v>
      </c>
      <c r="C46" s="116">
        <v>14200</v>
      </c>
      <c r="D46" s="116">
        <v>16005</v>
      </c>
      <c r="E46" s="116">
        <v>12392</v>
      </c>
      <c r="F46" s="115">
        <v>15138</v>
      </c>
      <c r="G46" s="115">
        <v>13855</v>
      </c>
      <c r="H46" s="115">
        <v>13378</v>
      </c>
      <c r="I46" s="115">
        <v>9810</v>
      </c>
      <c r="J46" s="115">
        <v>9163</v>
      </c>
      <c r="K46" s="115">
        <v>8452</v>
      </c>
    </row>
    <row r="47" spans="1:11" x14ac:dyDescent="0.25">
      <c r="A47" s="21" t="s">
        <v>104</v>
      </c>
      <c r="B47" s="111">
        <v>0</v>
      </c>
      <c r="C47" s="111">
        <v>0</v>
      </c>
      <c r="D47" s="111">
        <v>0</v>
      </c>
      <c r="E47" s="111">
        <v>0</v>
      </c>
      <c r="F47" s="111">
        <v>0</v>
      </c>
      <c r="G47" s="111">
        <v>0</v>
      </c>
      <c r="H47" s="111">
        <v>0</v>
      </c>
      <c r="I47" s="111">
        <v>0</v>
      </c>
      <c r="J47" s="115">
        <v>3652</v>
      </c>
      <c r="K47" s="115">
        <v>3509</v>
      </c>
    </row>
    <row r="48" spans="1:11" x14ac:dyDescent="0.25">
      <c r="A48" s="21" t="s">
        <v>34</v>
      </c>
      <c r="B48" s="116">
        <v>2777</v>
      </c>
      <c r="C48" s="116">
        <v>2700</v>
      </c>
      <c r="D48" s="116">
        <v>2628</v>
      </c>
      <c r="E48" s="116">
        <v>2559</v>
      </c>
      <c r="F48" s="115">
        <v>2602</v>
      </c>
      <c r="G48" s="115">
        <v>2246</v>
      </c>
      <c r="H48" s="115">
        <v>2278</v>
      </c>
      <c r="I48" s="115">
        <v>2296</v>
      </c>
      <c r="J48" s="111">
        <v>0</v>
      </c>
      <c r="K48" s="111">
        <v>0</v>
      </c>
    </row>
    <row r="49" spans="1:11" x14ac:dyDescent="0.25">
      <c r="A49" s="21" t="s">
        <v>16</v>
      </c>
      <c r="B49" s="116">
        <v>1924</v>
      </c>
      <c r="C49" s="116">
        <v>2028</v>
      </c>
      <c r="D49" s="116">
        <v>2047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5">
        <v>163</v>
      </c>
      <c r="K49" s="115">
        <v>1456</v>
      </c>
    </row>
    <row r="50" spans="1:11" x14ac:dyDescent="0.25">
      <c r="A50" s="21" t="s">
        <v>106</v>
      </c>
      <c r="B50" s="111">
        <v>0</v>
      </c>
      <c r="C50" s="111">
        <v>0</v>
      </c>
      <c r="D50" s="111">
        <v>0</v>
      </c>
      <c r="E50" s="111">
        <v>0</v>
      </c>
      <c r="F50" s="111">
        <v>0</v>
      </c>
      <c r="G50" s="111">
        <v>0</v>
      </c>
      <c r="H50" s="111">
        <v>0</v>
      </c>
      <c r="I50" s="111">
        <v>0</v>
      </c>
      <c r="J50" s="115">
        <v>5801</v>
      </c>
      <c r="K50" s="115">
        <v>5294</v>
      </c>
    </row>
    <row r="51" spans="1:11" x14ac:dyDescent="0.25">
      <c r="A51" s="21" t="s">
        <v>42</v>
      </c>
      <c r="B51" s="116">
        <v>1533</v>
      </c>
      <c r="C51" s="116">
        <v>1419</v>
      </c>
      <c r="D51" s="116">
        <v>1649</v>
      </c>
      <c r="E51" s="116">
        <v>1711</v>
      </c>
      <c r="F51" s="115">
        <v>2128</v>
      </c>
      <c r="G51" s="115">
        <v>1891</v>
      </c>
      <c r="H51" s="115">
        <v>1878</v>
      </c>
      <c r="I51" s="115">
        <v>2111</v>
      </c>
      <c r="J51" s="115">
        <v>969</v>
      </c>
      <c r="K51" s="115">
        <v>1386</v>
      </c>
    </row>
    <row r="52" spans="1:11" x14ac:dyDescent="0.25">
      <c r="A52" s="108" t="s">
        <v>43</v>
      </c>
      <c r="B52" s="119">
        <v>30906</v>
      </c>
      <c r="C52" s="119">
        <v>32194</v>
      </c>
      <c r="D52" s="119">
        <v>33411</v>
      </c>
      <c r="E52" s="119">
        <v>26457</v>
      </c>
      <c r="F52" s="120">
        <v>28345</v>
      </c>
      <c r="G52" s="120">
        <v>24758</v>
      </c>
      <c r="H52" s="120">
        <v>23735</v>
      </c>
      <c r="I52" s="120">
        <v>20809</v>
      </c>
      <c r="J52" s="120">
        <v>28001</v>
      </c>
      <c r="K52" s="120">
        <v>28970</v>
      </c>
    </row>
    <row r="53" spans="1:11" x14ac:dyDescent="0.25">
      <c r="A53" s="17" t="s">
        <v>44</v>
      </c>
      <c r="B53" s="136"/>
      <c r="C53" s="136"/>
      <c r="D53" s="136"/>
      <c r="E53" s="139"/>
      <c r="F53" s="122"/>
      <c r="G53" s="122"/>
      <c r="H53" s="122"/>
      <c r="I53" s="122"/>
      <c r="J53" s="122"/>
      <c r="K53" s="122"/>
    </row>
    <row r="54" spans="1:11" x14ac:dyDescent="0.25">
      <c r="A54" s="17" t="s">
        <v>62</v>
      </c>
      <c r="B54" s="136"/>
      <c r="C54" s="136"/>
      <c r="D54" s="136"/>
      <c r="E54" s="136"/>
      <c r="F54" s="122"/>
      <c r="G54" s="122"/>
      <c r="H54" s="122"/>
      <c r="I54" s="122"/>
      <c r="J54" s="122"/>
      <c r="K54" s="122"/>
    </row>
    <row r="55" spans="1:11" ht="38.25" x14ac:dyDescent="0.25">
      <c r="A55" s="26" t="s">
        <v>134</v>
      </c>
      <c r="B55" s="111">
        <v>0</v>
      </c>
      <c r="C55" s="111">
        <v>0</v>
      </c>
      <c r="D55" s="111">
        <v>0</v>
      </c>
      <c r="E55" s="111">
        <v>0</v>
      </c>
      <c r="F55" s="112">
        <v>0</v>
      </c>
      <c r="G55" s="112">
        <v>0</v>
      </c>
      <c r="H55" s="112">
        <v>0</v>
      </c>
      <c r="I55" s="112">
        <v>0</v>
      </c>
      <c r="J55" s="112">
        <v>0</v>
      </c>
      <c r="K55" s="112">
        <v>0</v>
      </c>
    </row>
    <row r="56" spans="1:11" x14ac:dyDescent="0.25">
      <c r="A56" s="21" t="s">
        <v>49</v>
      </c>
      <c r="B56" s="116">
        <v>13926</v>
      </c>
      <c r="C56" s="116">
        <v>13999</v>
      </c>
      <c r="D56" s="116">
        <v>14069</v>
      </c>
      <c r="E56" s="116">
        <v>13982</v>
      </c>
      <c r="F56" s="115">
        <v>12981</v>
      </c>
      <c r="G56" s="115">
        <v>10875</v>
      </c>
      <c r="H56" s="115">
        <v>12294</v>
      </c>
      <c r="I56" s="115">
        <v>12053</v>
      </c>
      <c r="J56" s="115">
        <v>11671</v>
      </c>
      <c r="K56" s="115">
        <v>11129</v>
      </c>
    </row>
    <row r="57" spans="1:11" x14ac:dyDescent="0.25">
      <c r="A57" s="21" t="s">
        <v>65</v>
      </c>
      <c r="B57" s="116">
        <v>-9252</v>
      </c>
      <c r="C57" s="116">
        <v>-8398</v>
      </c>
      <c r="D57" s="116">
        <v>-7389</v>
      </c>
      <c r="E57" s="116">
        <v>3049</v>
      </c>
      <c r="F57" s="115">
        <v>3456</v>
      </c>
      <c r="G57" s="115">
        <v>7623</v>
      </c>
      <c r="H57" s="115">
        <v>7903</v>
      </c>
      <c r="I57" s="115">
        <v>9636</v>
      </c>
      <c r="J57" s="115">
        <v>10039</v>
      </c>
      <c r="K57" s="115">
        <v>12454</v>
      </c>
    </row>
    <row r="58" spans="1:11" x14ac:dyDescent="0.25">
      <c r="A58" s="21" t="s">
        <v>50</v>
      </c>
      <c r="B58" s="116">
        <v>-3578</v>
      </c>
      <c r="C58" s="116">
        <v>-6766</v>
      </c>
      <c r="D58" s="116">
        <v>-8577</v>
      </c>
      <c r="E58" s="116">
        <v>-5130</v>
      </c>
      <c r="F58" s="115">
        <v>-7311</v>
      </c>
      <c r="G58" s="115">
        <v>-7275</v>
      </c>
      <c r="H58" s="115">
        <v>-7636</v>
      </c>
      <c r="I58" s="115">
        <v>-7621</v>
      </c>
      <c r="J58" s="115">
        <v>-7825</v>
      </c>
      <c r="K58" s="115">
        <v>-7989</v>
      </c>
    </row>
    <row r="59" spans="1:11" ht="25.5" x14ac:dyDescent="0.25">
      <c r="A59" s="26" t="s">
        <v>133</v>
      </c>
      <c r="B59" s="116">
        <v>-199</v>
      </c>
      <c r="C59" s="116">
        <v>-231</v>
      </c>
      <c r="D59" s="116">
        <v>-234</v>
      </c>
      <c r="E59" s="116">
        <v>-258</v>
      </c>
      <c r="F59" s="115">
        <v>-313</v>
      </c>
      <c r="G59" s="115">
        <v>-373</v>
      </c>
      <c r="H59" s="115">
        <v>-274</v>
      </c>
      <c r="I59" s="115">
        <v>-158</v>
      </c>
      <c r="J59" s="115">
        <v>-198</v>
      </c>
      <c r="K59" s="115">
        <v>-236</v>
      </c>
    </row>
    <row r="60" spans="1:11" x14ac:dyDescent="0.25">
      <c r="A60" s="108" t="s">
        <v>67</v>
      </c>
      <c r="B60" s="119">
        <v>897</v>
      </c>
      <c r="C60" s="119">
        <v>-1396</v>
      </c>
      <c r="D60" s="119">
        <v>-2131</v>
      </c>
      <c r="E60" s="119">
        <v>11643</v>
      </c>
      <c r="F60" s="120">
        <v>8813</v>
      </c>
      <c r="G60" s="120">
        <v>10850</v>
      </c>
      <c r="H60" s="120">
        <v>12287</v>
      </c>
      <c r="I60" s="120">
        <v>13910</v>
      </c>
      <c r="J60" s="120">
        <v>13687</v>
      </c>
      <c r="K60" s="120">
        <v>15358</v>
      </c>
    </row>
    <row r="61" spans="1:11" ht="15.75" thickBot="1" x14ac:dyDescent="0.3">
      <c r="A61" s="11" t="s">
        <v>68</v>
      </c>
      <c r="B61" s="123">
        <v>43188</v>
      </c>
      <c r="C61" s="123">
        <v>43499</v>
      </c>
      <c r="D61" s="123">
        <v>44550</v>
      </c>
      <c r="E61" s="123">
        <v>52252</v>
      </c>
      <c r="F61" s="124">
        <v>54005</v>
      </c>
      <c r="G61" s="124">
        <v>53134</v>
      </c>
      <c r="H61" s="124">
        <v>51261</v>
      </c>
      <c r="I61" s="124">
        <v>53292</v>
      </c>
      <c r="J61" s="124">
        <v>60266</v>
      </c>
      <c r="K61" s="124">
        <v>64532</v>
      </c>
    </row>
    <row r="62" spans="1:11" ht="15.75" thickTop="1" x14ac:dyDescent="0.25">
      <c r="A62" s="102"/>
      <c r="B62" s="121"/>
      <c r="C62" s="121"/>
      <c r="D62" s="121"/>
      <c r="E62" s="121"/>
      <c r="F62" s="121"/>
      <c r="G62" s="121"/>
      <c r="H62" s="121"/>
      <c r="I62" s="121"/>
      <c r="J62" s="121"/>
      <c r="K62" s="121"/>
    </row>
    <row r="63" spans="1:11" x14ac:dyDescent="0.25">
      <c r="A63" s="102"/>
      <c r="B63" s="121"/>
      <c r="C63" s="121"/>
      <c r="D63" s="121"/>
      <c r="E63" s="121"/>
      <c r="F63" s="121"/>
      <c r="G63" s="121"/>
      <c r="H63" s="121"/>
      <c r="I63" s="121"/>
      <c r="J63" s="121"/>
      <c r="K63" s="121"/>
    </row>
    <row r="64" spans="1:11" x14ac:dyDescent="0.25">
      <c r="A64" s="109" t="s">
        <v>186</v>
      </c>
      <c r="B64" s="121"/>
      <c r="C64" s="121"/>
      <c r="D64" s="121"/>
      <c r="E64" s="121"/>
      <c r="F64" s="121"/>
      <c r="G64" s="121"/>
      <c r="H64" s="121"/>
      <c r="I64" s="121"/>
      <c r="J64" s="121"/>
      <c r="K64" s="121"/>
    </row>
    <row r="65" spans="1:11" x14ac:dyDescent="0.25">
      <c r="A65" s="95" t="s">
        <v>138</v>
      </c>
      <c r="B65" s="121"/>
      <c r="C65" s="121"/>
      <c r="D65" s="121"/>
      <c r="E65" s="121"/>
      <c r="F65" s="122"/>
      <c r="G65" s="122"/>
      <c r="H65" s="122"/>
      <c r="I65" s="122"/>
      <c r="J65" s="122"/>
      <c r="K65" s="122"/>
    </row>
    <row r="66" spans="1:11" x14ac:dyDescent="0.25">
      <c r="A66" s="27" t="s">
        <v>139</v>
      </c>
      <c r="B66" s="136"/>
      <c r="C66" s="136"/>
      <c r="D66" s="136"/>
      <c r="E66" s="136"/>
      <c r="F66" s="122"/>
      <c r="G66" s="122"/>
      <c r="H66" s="122"/>
      <c r="I66" s="122"/>
      <c r="J66" s="136"/>
      <c r="K66" s="136"/>
    </row>
    <row r="67" spans="1:11" x14ac:dyDescent="0.25">
      <c r="A67" s="27" t="s">
        <v>140</v>
      </c>
      <c r="B67" s="113">
        <v>21408</v>
      </c>
      <c r="C67" s="113">
        <v>23864</v>
      </c>
      <c r="D67" s="113">
        <v>25173</v>
      </c>
      <c r="E67" s="113">
        <v>26534</v>
      </c>
      <c r="F67" s="114">
        <v>28688</v>
      </c>
      <c r="G67" s="114">
        <v>28898</v>
      </c>
      <c r="H67" s="114">
        <v>28105</v>
      </c>
      <c r="I67" s="114">
        <v>29105</v>
      </c>
      <c r="J67" s="111">
        <v>0</v>
      </c>
      <c r="K67" s="111">
        <v>0</v>
      </c>
    </row>
    <row r="68" spans="1:11" x14ac:dyDescent="0.25">
      <c r="A68" s="27" t="s">
        <v>141</v>
      </c>
      <c r="B68" s="117">
        <v>5850</v>
      </c>
      <c r="C68" s="117">
        <v>6393</v>
      </c>
      <c r="D68" s="117">
        <v>6581</v>
      </c>
      <c r="E68" s="117">
        <v>6408</v>
      </c>
      <c r="F68" s="118">
        <v>6266</v>
      </c>
      <c r="G68" s="118">
        <v>5884</v>
      </c>
      <c r="H68" s="118">
        <v>5672</v>
      </c>
      <c r="I68" s="118">
        <v>5714</v>
      </c>
      <c r="J68" s="111">
        <v>0</v>
      </c>
      <c r="K68" s="111">
        <v>0</v>
      </c>
    </row>
    <row r="69" spans="1:11" x14ac:dyDescent="0.25">
      <c r="A69" s="110" t="s">
        <v>142</v>
      </c>
      <c r="B69" s="119">
        <v>27258</v>
      </c>
      <c r="C69" s="119">
        <v>30257</v>
      </c>
      <c r="D69" s="119">
        <v>31754</v>
      </c>
      <c r="E69" s="119">
        <v>32942</v>
      </c>
      <c r="F69" s="120">
        <v>34954</v>
      </c>
      <c r="G69" s="120">
        <v>34782</v>
      </c>
      <c r="H69" s="120">
        <v>33777</v>
      </c>
      <c r="I69" s="120">
        <v>34819</v>
      </c>
      <c r="J69" s="125">
        <v>39755</v>
      </c>
      <c r="K69" s="125">
        <v>42277</v>
      </c>
    </row>
    <row r="70" spans="1:11" x14ac:dyDescent="0.25">
      <c r="A70" s="27" t="s">
        <v>143</v>
      </c>
      <c r="B70" s="116">
        <v>850</v>
      </c>
      <c r="C70" s="116">
        <v>1027</v>
      </c>
      <c r="D70" s="116">
        <v>990</v>
      </c>
      <c r="E70" s="116">
        <v>937</v>
      </c>
      <c r="F70" s="115">
        <v>934</v>
      </c>
      <c r="G70" s="115">
        <v>813</v>
      </c>
      <c r="H70" s="115">
        <v>668</v>
      </c>
      <c r="I70" s="115">
        <v>729</v>
      </c>
      <c r="J70" s="115">
        <v>865</v>
      </c>
      <c r="K70" s="115">
        <v>753</v>
      </c>
    </row>
    <row r="71" spans="1:11" ht="15.75" thickBot="1" x14ac:dyDescent="0.3">
      <c r="A71" s="27" t="s">
        <v>144</v>
      </c>
      <c r="B71" s="126">
        <v>3647</v>
      </c>
      <c r="C71" s="126">
        <v>3831</v>
      </c>
      <c r="D71" s="126">
        <v>3926</v>
      </c>
      <c r="E71" s="126">
        <v>3894</v>
      </c>
      <c r="F71" s="127">
        <v>4474</v>
      </c>
      <c r="G71" s="127">
        <v>5109</v>
      </c>
      <c r="H71" s="127">
        <v>5194</v>
      </c>
      <c r="I71" s="127">
        <v>5696</v>
      </c>
      <c r="J71" s="127">
        <v>3818</v>
      </c>
      <c r="K71" s="127">
        <v>3977</v>
      </c>
    </row>
    <row r="72" spans="1:11" x14ac:dyDescent="0.25">
      <c r="A72" s="110" t="s">
        <v>145</v>
      </c>
      <c r="B72" s="116">
        <v>31755</v>
      </c>
      <c r="C72" s="116">
        <v>35115</v>
      </c>
      <c r="D72" s="116">
        <v>36670</v>
      </c>
      <c r="E72" s="116">
        <v>37773</v>
      </c>
      <c r="F72" s="115">
        <v>40362</v>
      </c>
      <c r="G72" s="115">
        <v>40704</v>
      </c>
      <c r="H72" s="115">
        <v>39639</v>
      </c>
      <c r="I72" s="115">
        <v>41244</v>
      </c>
      <c r="J72" s="115">
        <v>44438</v>
      </c>
      <c r="K72" s="115">
        <v>47007</v>
      </c>
    </row>
    <row r="73" spans="1:11" x14ac:dyDescent="0.25">
      <c r="A73" s="102"/>
      <c r="B73" s="136"/>
      <c r="C73" s="136"/>
      <c r="D73" s="136"/>
      <c r="E73" s="136"/>
      <c r="F73" s="136"/>
      <c r="G73" s="136"/>
      <c r="H73" s="136"/>
      <c r="I73" s="136"/>
      <c r="J73" s="136"/>
      <c r="K73" s="136"/>
    </row>
    <row r="74" spans="1:11" x14ac:dyDescent="0.25">
      <c r="A74" s="95" t="s">
        <v>146</v>
      </c>
      <c r="B74" s="136"/>
      <c r="C74" s="136"/>
      <c r="D74" s="136"/>
      <c r="E74" s="136"/>
      <c r="F74" s="122"/>
      <c r="G74" s="122"/>
      <c r="H74" s="122"/>
      <c r="I74" s="122"/>
      <c r="J74" s="122"/>
      <c r="K74" s="122"/>
    </row>
    <row r="75" spans="1:11" x14ac:dyDescent="0.25">
      <c r="A75" s="27" t="s">
        <v>147</v>
      </c>
      <c r="B75" s="116">
        <v>7594</v>
      </c>
      <c r="C75" s="116">
        <v>9730</v>
      </c>
      <c r="D75" s="116">
        <v>10150</v>
      </c>
      <c r="E75" s="116">
        <v>9397</v>
      </c>
      <c r="F75" s="115">
        <v>11668</v>
      </c>
      <c r="G75" s="115">
        <v>6544</v>
      </c>
      <c r="H75" s="115">
        <v>5133</v>
      </c>
      <c r="I75" s="115">
        <v>5733</v>
      </c>
      <c r="J75" s="115">
        <v>9020</v>
      </c>
      <c r="K75" s="115">
        <v>8519</v>
      </c>
    </row>
    <row r="76" spans="1:11" x14ac:dyDescent="0.25">
      <c r="A76" s="27" t="s">
        <v>148</v>
      </c>
      <c r="B76" s="116">
        <v>6751</v>
      </c>
      <c r="C76" s="116">
        <v>6894</v>
      </c>
      <c r="D76" s="116">
        <v>7266</v>
      </c>
      <c r="E76" s="116">
        <v>7720</v>
      </c>
      <c r="F76" s="115">
        <v>8120</v>
      </c>
      <c r="G76" s="115">
        <v>8776</v>
      </c>
      <c r="H76" s="115">
        <v>10034</v>
      </c>
      <c r="I76" s="115">
        <v>10436</v>
      </c>
      <c r="J76" s="115">
        <v>10743</v>
      </c>
      <c r="K76" s="115">
        <v>11225</v>
      </c>
    </row>
    <row r="77" spans="1:11" x14ac:dyDescent="0.25">
      <c r="A77" s="27" t="s">
        <v>177</v>
      </c>
      <c r="B77" s="116">
        <v>4305</v>
      </c>
      <c r="C77" s="116">
        <v>5470</v>
      </c>
      <c r="D77" s="116">
        <v>5647</v>
      </c>
      <c r="E77" s="116">
        <v>5669</v>
      </c>
      <c r="F77" s="115">
        <v>5237</v>
      </c>
      <c r="G77" s="115">
        <v>4241</v>
      </c>
      <c r="H77" s="115">
        <v>4311</v>
      </c>
      <c r="I77" s="115">
        <v>4503</v>
      </c>
      <c r="J77" s="115">
        <v>3438</v>
      </c>
      <c r="K77" s="115">
        <v>3584</v>
      </c>
    </row>
    <row r="78" spans="1:11" x14ac:dyDescent="0.25">
      <c r="A78" s="27" t="s">
        <v>150</v>
      </c>
      <c r="B78" s="116">
        <v>1569</v>
      </c>
      <c r="C78" s="116">
        <v>1765</v>
      </c>
      <c r="D78" s="116">
        <v>1955</v>
      </c>
      <c r="E78" s="116">
        <v>1852</v>
      </c>
      <c r="F78" s="115">
        <v>1828</v>
      </c>
      <c r="G78" s="115">
        <v>1848</v>
      </c>
      <c r="H78" s="115">
        <v>1823</v>
      </c>
      <c r="I78" s="115">
        <v>1992</v>
      </c>
      <c r="J78" s="115">
        <v>1575</v>
      </c>
      <c r="K78" s="115">
        <v>1751</v>
      </c>
    </row>
    <row r="79" spans="1:11" x14ac:dyDescent="0.25">
      <c r="A79" s="27" t="s">
        <v>151</v>
      </c>
      <c r="B79" s="116">
        <v>1509</v>
      </c>
      <c r="C79" s="116">
        <v>1682</v>
      </c>
      <c r="D79" s="116">
        <v>1590</v>
      </c>
      <c r="E79" s="116">
        <v>1603</v>
      </c>
      <c r="F79" s="115">
        <v>1700</v>
      </c>
      <c r="G79" s="115">
        <v>1672</v>
      </c>
      <c r="H79" s="115">
        <v>1710</v>
      </c>
      <c r="I79" s="115">
        <v>1787</v>
      </c>
      <c r="J79" s="115">
        <v>1941</v>
      </c>
      <c r="K79" s="115">
        <v>1993</v>
      </c>
    </row>
    <row r="80" spans="1:11" x14ac:dyDescent="0.25">
      <c r="A80" s="27" t="s">
        <v>152</v>
      </c>
      <c r="B80" s="116">
        <v>1549</v>
      </c>
      <c r="C80" s="116">
        <v>1642</v>
      </c>
      <c r="D80" s="116">
        <v>1566</v>
      </c>
      <c r="E80" s="116">
        <v>1665</v>
      </c>
      <c r="F80" s="115">
        <v>1749</v>
      </c>
      <c r="G80" s="115">
        <v>1848</v>
      </c>
      <c r="H80" s="115">
        <v>1991</v>
      </c>
      <c r="I80" s="115">
        <v>2184</v>
      </c>
      <c r="J80" s="115">
        <v>2175</v>
      </c>
      <c r="K80" s="115">
        <v>2641</v>
      </c>
    </row>
    <row r="81" spans="1:11" x14ac:dyDescent="0.25">
      <c r="A81" s="27" t="s">
        <v>153</v>
      </c>
      <c r="B81" s="116">
        <v>1511</v>
      </c>
      <c r="C81" s="116">
        <v>1523</v>
      </c>
      <c r="D81" s="116">
        <v>1565</v>
      </c>
      <c r="E81" s="116">
        <v>1658</v>
      </c>
      <c r="F81" s="115">
        <v>1771</v>
      </c>
      <c r="G81" s="115">
        <v>1835</v>
      </c>
      <c r="H81" s="115">
        <v>1902</v>
      </c>
      <c r="I81" s="115">
        <v>2235</v>
      </c>
      <c r="J81" s="115">
        <v>2329</v>
      </c>
      <c r="K81" s="115">
        <v>2581</v>
      </c>
    </row>
    <row r="82" spans="1:11" x14ac:dyDescent="0.25">
      <c r="A82" s="27" t="s">
        <v>154</v>
      </c>
      <c r="B82" s="116">
        <v>1281</v>
      </c>
      <c r="C82" s="116">
        <v>1281</v>
      </c>
      <c r="D82" s="116">
        <v>1336</v>
      </c>
      <c r="E82" s="116">
        <v>1410</v>
      </c>
      <c r="F82" s="115">
        <v>1442</v>
      </c>
      <c r="G82" s="115">
        <v>1493</v>
      </c>
      <c r="H82" s="115">
        <v>1490</v>
      </c>
      <c r="I82" s="115">
        <v>1528</v>
      </c>
      <c r="J82" s="115">
        <v>1662</v>
      </c>
      <c r="K82" s="115">
        <v>1762</v>
      </c>
    </row>
    <row r="83" spans="1:11" x14ac:dyDescent="0.25">
      <c r="A83" s="27" t="s">
        <v>155</v>
      </c>
      <c r="B83" s="116">
        <v>673</v>
      </c>
      <c r="C83" s="116">
        <v>721</v>
      </c>
      <c r="D83" s="116">
        <v>732</v>
      </c>
      <c r="E83" s="116">
        <v>762</v>
      </c>
      <c r="F83" s="115">
        <v>810</v>
      </c>
      <c r="G83" s="115">
        <v>872</v>
      </c>
      <c r="H83" s="115">
        <v>907</v>
      </c>
      <c r="I83" s="115">
        <v>1067</v>
      </c>
      <c r="J83" s="115">
        <v>1178</v>
      </c>
      <c r="K83" s="115">
        <v>1251</v>
      </c>
    </row>
    <row r="84" spans="1:11" x14ac:dyDescent="0.25">
      <c r="A84" s="27" t="s">
        <v>156</v>
      </c>
      <c r="B84" s="116">
        <v>387</v>
      </c>
      <c r="C84" s="116">
        <v>298</v>
      </c>
      <c r="D84" s="116">
        <v>272</v>
      </c>
      <c r="E84" s="116">
        <v>209</v>
      </c>
      <c r="F84" s="115">
        <v>233</v>
      </c>
      <c r="G84" s="115">
        <v>250</v>
      </c>
      <c r="H84" s="115">
        <v>285</v>
      </c>
      <c r="I84" s="115">
        <v>351</v>
      </c>
      <c r="J84" s="115">
        <v>394</v>
      </c>
      <c r="K84" s="115">
        <v>423</v>
      </c>
    </row>
    <row r="85" spans="1:11" x14ac:dyDescent="0.25">
      <c r="A85" s="27" t="s">
        <v>157</v>
      </c>
      <c r="B85" s="116">
        <v>313</v>
      </c>
      <c r="C85" s="116">
        <v>264</v>
      </c>
      <c r="D85" s="116">
        <v>372</v>
      </c>
      <c r="E85" s="116">
        <v>506</v>
      </c>
      <c r="F85" s="115">
        <v>1085</v>
      </c>
      <c r="G85" s="115">
        <v>1490</v>
      </c>
      <c r="H85" s="115">
        <v>1115</v>
      </c>
      <c r="I85" s="115">
        <v>1065</v>
      </c>
      <c r="J85" s="115">
        <v>1301</v>
      </c>
      <c r="K85" s="115">
        <v>1643</v>
      </c>
    </row>
    <row r="86" spans="1:11" x14ac:dyDescent="0.25">
      <c r="A86" s="21" t="s">
        <v>158</v>
      </c>
      <c r="B86" s="116">
        <v>450</v>
      </c>
      <c r="C86" s="116">
        <v>242</v>
      </c>
      <c r="D86" s="116">
        <v>452</v>
      </c>
      <c r="E86" s="116">
        <v>402</v>
      </c>
      <c r="F86" s="115">
        <v>716</v>
      </c>
      <c r="G86" s="115">
        <v>35</v>
      </c>
      <c r="H86" s="111">
        <v>0</v>
      </c>
      <c r="I86" s="111">
        <v>0</v>
      </c>
      <c r="J86" s="111">
        <v>0</v>
      </c>
      <c r="K86" s="111">
        <v>0</v>
      </c>
    </row>
    <row r="87" spans="1:11" x14ac:dyDescent="0.25">
      <c r="A87" s="27" t="s">
        <v>184</v>
      </c>
      <c r="B87" s="111">
        <v>0</v>
      </c>
      <c r="C87" s="111">
        <v>0</v>
      </c>
      <c r="D87" s="111">
        <v>0</v>
      </c>
      <c r="E87" s="111">
        <v>0</v>
      </c>
      <c r="F87" s="111">
        <v>0</v>
      </c>
      <c r="G87" s="111">
        <v>0</v>
      </c>
      <c r="H87" s="111">
        <v>0</v>
      </c>
      <c r="I87" s="111">
        <v>0</v>
      </c>
      <c r="J87" s="115">
        <v>1695</v>
      </c>
      <c r="K87" s="115">
        <v>1245</v>
      </c>
    </row>
    <row r="88" spans="1:11" ht="15.75" thickBot="1" x14ac:dyDescent="0.3">
      <c r="A88" s="27" t="s">
        <v>144</v>
      </c>
      <c r="B88" s="126">
        <v>1646</v>
      </c>
      <c r="C88" s="126">
        <v>1628</v>
      </c>
      <c r="D88" s="126">
        <v>1592</v>
      </c>
      <c r="E88" s="126">
        <v>1520</v>
      </c>
      <c r="F88" s="127">
        <v>1797</v>
      </c>
      <c r="G88" s="127">
        <v>1998</v>
      </c>
      <c r="H88" s="127">
        <v>1986</v>
      </c>
      <c r="I88" s="127">
        <v>2249</v>
      </c>
      <c r="J88" s="127">
        <v>1723</v>
      </c>
      <c r="K88" s="127">
        <v>1771</v>
      </c>
    </row>
    <row r="89" spans="1:11" ht="15.75" thickBot="1" x14ac:dyDescent="0.3">
      <c r="A89" s="110" t="s">
        <v>159</v>
      </c>
      <c r="B89" s="126">
        <v>29538</v>
      </c>
      <c r="C89" s="126">
        <v>33140</v>
      </c>
      <c r="D89" s="126">
        <v>34495</v>
      </c>
      <c r="E89" s="126">
        <v>34373</v>
      </c>
      <c r="F89" s="127">
        <v>38156</v>
      </c>
      <c r="G89" s="127">
        <v>32902</v>
      </c>
      <c r="H89" s="127">
        <v>32687</v>
      </c>
      <c r="I89" s="127">
        <v>35130</v>
      </c>
      <c r="J89" s="127">
        <v>39174</v>
      </c>
      <c r="K89" s="127">
        <v>40389</v>
      </c>
    </row>
    <row r="90" spans="1:11" x14ac:dyDescent="0.25">
      <c r="A90" s="102"/>
      <c r="B90" s="136"/>
      <c r="C90" s="136"/>
      <c r="D90" s="136"/>
      <c r="E90" s="136"/>
      <c r="F90" s="136"/>
      <c r="G90" s="136"/>
      <c r="H90" s="136"/>
      <c r="I90" s="136"/>
      <c r="J90" s="136"/>
      <c r="K90" s="136"/>
    </row>
    <row r="91" spans="1:11" x14ac:dyDescent="0.25">
      <c r="A91" s="95" t="s">
        <v>160</v>
      </c>
      <c r="B91" s="116">
        <v>2217</v>
      </c>
      <c r="C91" s="116">
        <v>1975</v>
      </c>
      <c r="D91" s="116">
        <v>2175</v>
      </c>
      <c r="E91" s="116">
        <v>3400</v>
      </c>
      <c r="F91" s="115">
        <v>2206</v>
      </c>
      <c r="G91" s="115">
        <v>7802</v>
      </c>
      <c r="H91" s="115">
        <v>6952</v>
      </c>
      <c r="I91" s="115">
        <v>6114</v>
      </c>
      <c r="J91" s="115">
        <v>5264</v>
      </c>
      <c r="K91" s="115">
        <v>6618</v>
      </c>
    </row>
    <row r="92" spans="1:11" x14ac:dyDescent="0.25">
      <c r="A92" s="102"/>
      <c r="B92" s="136"/>
      <c r="C92" s="136"/>
      <c r="D92" s="136"/>
      <c r="E92" s="136"/>
      <c r="F92" s="136"/>
      <c r="G92" s="136"/>
      <c r="H92" s="136"/>
      <c r="I92" s="136"/>
      <c r="J92" s="136"/>
      <c r="K92" s="136"/>
    </row>
    <row r="93" spans="1:11" x14ac:dyDescent="0.25">
      <c r="A93" s="95" t="s">
        <v>179</v>
      </c>
      <c r="B93" s="136"/>
      <c r="C93" s="136"/>
      <c r="D93" s="136"/>
      <c r="E93" s="136"/>
      <c r="F93" s="122"/>
      <c r="G93" s="122"/>
      <c r="H93" s="122"/>
      <c r="I93" s="122"/>
      <c r="J93" s="122"/>
      <c r="K93" s="122"/>
    </row>
    <row r="94" spans="1:11" x14ac:dyDescent="0.25">
      <c r="A94" s="27" t="s">
        <v>161</v>
      </c>
      <c r="B94" s="116">
        <v>-969</v>
      </c>
      <c r="C94" s="116">
        <v>-901</v>
      </c>
      <c r="D94" s="116">
        <v>-812</v>
      </c>
      <c r="E94" s="116">
        <v>-698</v>
      </c>
      <c r="F94" s="115">
        <v>-650</v>
      </c>
      <c r="G94" s="115">
        <v>-481</v>
      </c>
      <c r="H94" s="115">
        <v>-388</v>
      </c>
      <c r="I94" s="115">
        <v>-396</v>
      </c>
      <c r="J94" s="115">
        <v>-311</v>
      </c>
      <c r="K94" s="115">
        <v>-301</v>
      </c>
    </row>
    <row r="95" spans="1:11" x14ac:dyDescent="0.25">
      <c r="A95" s="21" t="s">
        <v>162</v>
      </c>
      <c r="B95" s="116">
        <v>-216</v>
      </c>
      <c r="C95" s="116">
        <v>-193</v>
      </c>
      <c r="D95" s="116">
        <v>-193</v>
      </c>
      <c r="E95" s="116">
        <v>-154</v>
      </c>
      <c r="F95" s="111">
        <v>0</v>
      </c>
      <c r="G95" s="111">
        <v>0</v>
      </c>
      <c r="H95" s="111">
        <v>0</v>
      </c>
      <c r="I95" s="111">
        <v>0</v>
      </c>
      <c r="J95" s="111">
        <v>0</v>
      </c>
      <c r="K95" s="111">
        <v>0</v>
      </c>
    </row>
    <row r="96" spans="1:11" x14ac:dyDescent="0.25">
      <c r="A96" s="27" t="s">
        <v>185</v>
      </c>
      <c r="B96" s="111">
        <v>0</v>
      </c>
      <c r="C96" s="111">
        <v>0</v>
      </c>
      <c r="D96" s="111">
        <v>0</v>
      </c>
      <c r="E96" s="111">
        <v>0</v>
      </c>
      <c r="F96" s="111">
        <v>0</v>
      </c>
      <c r="G96" s="111">
        <v>0</v>
      </c>
      <c r="H96" s="111">
        <v>0</v>
      </c>
      <c r="I96" s="111">
        <v>0</v>
      </c>
      <c r="J96" s="115">
        <v>38</v>
      </c>
      <c r="K96" s="115">
        <v>119</v>
      </c>
    </row>
    <row r="97" spans="1:11" x14ac:dyDescent="0.25">
      <c r="A97" s="21" t="s">
        <v>163</v>
      </c>
      <c r="B97" s="116">
        <v>-391</v>
      </c>
      <c r="C97" s="116">
        <v>-68</v>
      </c>
      <c r="D97" s="116">
        <v>-118</v>
      </c>
      <c r="E97" s="111">
        <v>0</v>
      </c>
      <c r="F97" s="111">
        <v>0</v>
      </c>
      <c r="G97" s="111">
        <v>0</v>
      </c>
      <c r="H97" s="111">
        <v>0</v>
      </c>
      <c r="I97" s="111">
        <v>0</v>
      </c>
      <c r="J97" s="111">
        <v>0</v>
      </c>
      <c r="K97" s="111">
        <v>0</v>
      </c>
    </row>
    <row r="98" spans="1:11" ht="15.75" thickBot="1" x14ac:dyDescent="0.3">
      <c r="A98" s="27" t="s">
        <v>164</v>
      </c>
      <c r="B98" s="126">
        <v>-33</v>
      </c>
      <c r="C98" s="126">
        <v>-44</v>
      </c>
      <c r="D98" s="126">
        <v>-27</v>
      </c>
      <c r="E98" s="126">
        <v>-21</v>
      </c>
      <c r="F98" s="127">
        <v>-484</v>
      </c>
      <c r="G98" s="127">
        <v>-164</v>
      </c>
      <c r="H98" s="127">
        <v>72</v>
      </c>
      <c r="I98" s="127">
        <v>-17</v>
      </c>
      <c r="J98" s="127">
        <v>160</v>
      </c>
      <c r="K98" s="127">
        <v>-238</v>
      </c>
    </row>
    <row r="99" spans="1:11" ht="15.75" thickBot="1" x14ac:dyDescent="0.3">
      <c r="A99" s="110" t="s">
        <v>180</v>
      </c>
      <c r="B99" s="128">
        <v>-1609</v>
      </c>
      <c r="C99" s="128">
        <v>-1206</v>
      </c>
      <c r="D99" s="128">
        <v>-1150</v>
      </c>
      <c r="E99" s="128">
        <v>-873</v>
      </c>
      <c r="F99" s="129">
        <v>-1134</v>
      </c>
      <c r="G99" s="129">
        <v>-645</v>
      </c>
      <c r="H99" s="129">
        <v>-316</v>
      </c>
      <c r="I99" s="129">
        <v>-413</v>
      </c>
      <c r="J99" s="129">
        <v>-113</v>
      </c>
      <c r="K99" s="129">
        <v>-420</v>
      </c>
    </row>
    <row r="100" spans="1:11" x14ac:dyDescent="0.25">
      <c r="A100" s="102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</row>
    <row r="101" spans="1:11" x14ac:dyDescent="0.25">
      <c r="A101" s="95" t="s">
        <v>165</v>
      </c>
      <c r="B101" s="116">
        <v>608</v>
      </c>
      <c r="C101" s="116">
        <v>769</v>
      </c>
      <c r="D101" s="116">
        <v>1025</v>
      </c>
      <c r="E101" s="116">
        <v>2527</v>
      </c>
      <c r="F101" s="115">
        <v>1072</v>
      </c>
      <c r="G101" s="115">
        <v>7157</v>
      </c>
      <c r="H101" s="115">
        <v>6636</v>
      </c>
      <c r="I101" s="115">
        <v>5701</v>
      </c>
      <c r="J101" s="115">
        <v>5151</v>
      </c>
      <c r="K101" s="115">
        <v>6198</v>
      </c>
    </row>
    <row r="102" spans="1:11" x14ac:dyDescent="0.25">
      <c r="A102" s="102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</row>
    <row r="103" spans="1:11" ht="15.75" thickBot="1" x14ac:dyDescent="0.3">
      <c r="A103" s="95" t="s">
        <v>181</v>
      </c>
      <c r="B103" s="126">
        <v>-15</v>
      </c>
      <c r="C103" s="126">
        <v>85</v>
      </c>
      <c r="D103" s="126">
        <v>-16</v>
      </c>
      <c r="E103" s="126">
        <v>8013</v>
      </c>
      <c r="F103" s="127">
        <v>-413</v>
      </c>
      <c r="G103" s="127">
        <v>-2631</v>
      </c>
      <c r="H103" s="127">
        <v>-2263</v>
      </c>
      <c r="I103" s="127">
        <v>-2124</v>
      </c>
      <c r="J103" s="127">
        <v>-1216</v>
      </c>
      <c r="K103" s="127">
        <v>-1431</v>
      </c>
    </row>
    <row r="104" spans="1:11" x14ac:dyDescent="0.25">
      <c r="A104" s="102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</row>
    <row r="105" spans="1:11" ht="15.75" thickBot="1" x14ac:dyDescent="0.3">
      <c r="A105" s="95" t="s">
        <v>167</v>
      </c>
      <c r="B105" s="130">
        <v>593</v>
      </c>
      <c r="C105" s="130">
        <v>854</v>
      </c>
      <c r="D105" s="130">
        <v>1009</v>
      </c>
      <c r="E105" s="130">
        <v>10540</v>
      </c>
      <c r="F105" s="131">
        <v>659</v>
      </c>
      <c r="G105" s="131">
        <v>4526</v>
      </c>
      <c r="H105" s="131">
        <v>4373</v>
      </c>
      <c r="I105" s="131">
        <v>3577</v>
      </c>
      <c r="J105" s="131">
        <v>3935</v>
      </c>
      <c r="K105" s="131">
        <v>4767</v>
      </c>
    </row>
    <row r="106" spans="1:11" ht="15.75" thickTop="1" x14ac:dyDescent="0.25">
      <c r="A106" s="102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</row>
    <row r="107" spans="1:11" x14ac:dyDescent="0.25">
      <c r="A107" s="95" t="s">
        <v>168</v>
      </c>
      <c r="B107" s="132">
        <v>0.71</v>
      </c>
      <c r="C107" s="132">
        <v>1.02</v>
      </c>
      <c r="D107" s="132">
        <v>1.2</v>
      </c>
      <c r="E107" s="132">
        <v>12.41</v>
      </c>
      <c r="F107" s="133">
        <v>0.79</v>
      </c>
      <c r="G107" s="133">
        <v>5.68</v>
      </c>
      <c r="H107" s="133">
        <v>5.82</v>
      </c>
      <c r="I107" s="133">
        <v>4.97</v>
      </c>
      <c r="J107" s="133">
        <v>5.69</v>
      </c>
      <c r="K107" s="133">
        <v>7.32</v>
      </c>
    </row>
    <row r="108" spans="1:11" x14ac:dyDescent="0.25">
      <c r="A108" s="95" t="s">
        <v>169</v>
      </c>
      <c r="B108" s="132">
        <v>0.7</v>
      </c>
      <c r="C108" s="132">
        <v>1.01</v>
      </c>
      <c r="D108" s="132">
        <v>1.19</v>
      </c>
      <c r="E108" s="132">
        <v>12.29</v>
      </c>
      <c r="F108" s="133">
        <v>0.78</v>
      </c>
      <c r="G108" s="133">
        <v>5.63</v>
      </c>
      <c r="H108" s="133">
        <v>5.79</v>
      </c>
      <c r="I108" s="133">
        <v>4.95</v>
      </c>
      <c r="J108" s="133">
        <v>5.67</v>
      </c>
      <c r="K108" s="133">
        <v>7.3</v>
      </c>
    </row>
    <row r="109" spans="1:11" x14ac:dyDescent="0.25">
      <c r="A109" s="95" t="s">
        <v>176</v>
      </c>
      <c r="B109" s="133">
        <v>0</v>
      </c>
      <c r="C109" s="133">
        <v>0</v>
      </c>
      <c r="D109" s="133">
        <v>0</v>
      </c>
      <c r="E109" s="133">
        <v>0.12</v>
      </c>
      <c r="F109" s="133">
        <v>0.3</v>
      </c>
      <c r="G109" s="133">
        <v>0.45</v>
      </c>
      <c r="H109" s="133">
        <v>0.68</v>
      </c>
      <c r="I109" s="133">
        <v>1.02</v>
      </c>
      <c r="J109" s="133">
        <v>1.31</v>
      </c>
      <c r="K109" s="133">
        <v>1.51</v>
      </c>
    </row>
  </sheetData>
  <mergeCells count="5">
    <mergeCell ref="B2:K2"/>
    <mergeCell ref="B3:K3"/>
    <mergeCell ref="B4:K4"/>
    <mergeCell ref="A6:K6"/>
    <mergeCell ref="A31:K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1974-6A2C-4D15-A720-C6F930B11702}">
  <dimension ref="A1:M64"/>
  <sheetViews>
    <sheetView zoomScaleNormal="100" workbookViewId="0">
      <selection activeCell="N14" sqref="N14"/>
    </sheetView>
  </sheetViews>
  <sheetFormatPr defaultRowHeight="15" x14ac:dyDescent="0.25"/>
  <cols>
    <col min="1" max="1" width="53.140625" bestFit="1" customWidth="1"/>
    <col min="2" max="4" width="9.140625" customWidth="1"/>
    <col min="5" max="5" width="9.42578125" customWidth="1"/>
    <col min="6" max="8" width="9.140625" customWidth="1"/>
    <col min="9" max="9" width="10.140625" customWidth="1"/>
    <col min="10" max="12" width="9.140625" customWidth="1"/>
    <col min="13" max="13" width="12" customWidth="1"/>
    <col min="14" max="14" width="56" bestFit="1" customWidth="1"/>
    <col min="15" max="16" width="9.140625" customWidth="1"/>
    <col min="17" max="17" width="56" bestFit="1" customWidth="1"/>
    <col min="18" max="18" width="9.140625" customWidth="1"/>
    <col min="20" max="20" width="57.7109375" bestFit="1" customWidth="1"/>
    <col min="23" max="23" width="58.140625" bestFit="1" customWidth="1"/>
    <col min="26" max="26" width="66" bestFit="1" customWidth="1"/>
  </cols>
  <sheetData>
    <row r="1" spans="1:11" x14ac:dyDescent="0.25">
      <c r="A1" t="s">
        <v>129</v>
      </c>
      <c r="B1" s="1">
        <v>44013</v>
      </c>
    </row>
    <row r="2" spans="1:11" ht="15.75" x14ac:dyDescent="0.25">
      <c r="B2" s="37" t="s">
        <v>1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B3" s="38" t="s">
        <v>2</v>
      </c>
      <c r="C3" s="38"/>
      <c r="D3" s="38"/>
      <c r="E3" s="38"/>
      <c r="F3" s="38"/>
      <c r="G3" s="38"/>
      <c r="H3" s="38"/>
      <c r="I3" s="38"/>
      <c r="J3" s="38"/>
      <c r="K3" s="38"/>
    </row>
    <row r="4" spans="1:11" x14ac:dyDescent="0.25">
      <c r="B4" s="39" t="s">
        <v>3</v>
      </c>
      <c r="C4" s="39"/>
      <c r="D4" s="39"/>
      <c r="E4" s="39"/>
      <c r="F4" s="39"/>
      <c r="G4" s="39"/>
      <c r="H4" s="39"/>
      <c r="I4" s="39"/>
      <c r="J4" s="39"/>
      <c r="K4" s="39"/>
    </row>
    <row r="5" spans="1:11" x14ac:dyDescent="0.25">
      <c r="A5" s="6" t="s">
        <v>4</v>
      </c>
      <c r="B5" s="36">
        <v>2010</v>
      </c>
      <c r="C5" s="36">
        <v>2011</v>
      </c>
      <c r="D5" s="36">
        <v>2012</v>
      </c>
      <c r="E5" s="36">
        <v>2013</v>
      </c>
      <c r="F5" s="36">
        <v>2014</v>
      </c>
      <c r="G5" s="36">
        <v>2015</v>
      </c>
      <c r="H5" s="36">
        <v>2016</v>
      </c>
      <c r="I5" s="36">
        <v>2017</v>
      </c>
      <c r="J5" s="36">
        <v>2018</v>
      </c>
      <c r="K5" s="36">
        <v>2019</v>
      </c>
    </row>
    <row r="6" spans="1:11" x14ac:dyDescent="0.25">
      <c r="A6" s="40" t="s">
        <v>5</v>
      </c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1" x14ac:dyDescent="0.25">
      <c r="A7" s="17" t="s">
        <v>6</v>
      </c>
      <c r="B7" s="7"/>
      <c r="C7" s="7"/>
      <c r="D7" s="7"/>
      <c r="E7" s="7"/>
      <c r="F7" s="12"/>
      <c r="G7" s="12"/>
      <c r="H7" s="12"/>
      <c r="I7" s="12"/>
      <c r="J7" s="12"/>
      <c r="K7" s="12"/>
    </row>
    <row r="8" spans="1:11" x14ac:dyDescent="0.25">
      <c r="A8" s="19" t="s">
        <v>7</v>
      </c>
      <c r="B8" s="8">
        <v>2892</v>
      </c>
      <c r="C8" s="8">
        <v>2657</v>
      </c>
      <c r="D8" s="8">
        <v>2416</v>
      </c>
      <c r="E8" s="8">
        <v>2844</v>
      </c>
      <c r="F8" s="14">
        <v>2088</v>
      </c>
      <c r="G8" s="14">
        <v>1972</v>
      </c>
      <c r="H8" s="14">
        <v>2762</v>
      </c>
      <c r="I8" s="14">
        <v>1814</v>
      </c>
      <c r="J8" s="14">
        <v>1565</v>
      </c>
      <c r="K8" s="14">
        <v>2882</v>
      </c>
    </row>
    <row r="9" spans="1:11" x14ac:dyDescent="0.25">
      <c r="A9" s="19" t="s">
        <v>8</v>
      </c>
      <c r="B9" s="9">
        <v>718</v>
      </c>
      <c r="C9" s="9">
        <v>958</v>
      </c>
      <c r="D9" s="9">
        <v>958</v>
      </c>
      <c r="E9" s="9">
        <v>959</v>
      </c>
      <c r="F9" s="13">
        <v>1217</v>
      </c>
      <c r="G9" s="13">
        <v>1465</v>
      </c>
      <c r="H9" s="13">
        <v>487</v>
      </c>
      <c r="I9" s="13">
        <v>825</v>
      </c>
    </row>
    <row r="10" spans="1:11" ht="25.5" x14ac:dyDescent="0.25">
      <c r="A10" s="24" t="s">
        <v>130</v>
      </c>
      <c r="B10" s="9">
        <v>409</v>
      </c>
      <c r="C10" s="9">
        <v>305</v>
      </c>
      <c r="D10" s="9">
        <v>375</v>
      </c>
      <c r="E10" s="9">
        <v>122</v>
      </c>
    </row>
    <row r="11" spans="1:11" ht="25.5" x14ac:dyDescent="0.25">
      <c r="A11" s="24" t="s">
        <v>131</v>
      </c>
      <c r="B11" s="9">
        <v>1456</v>
      </c>
      <c r="C11" s="9">
        <v>1563</v>
      </c>
      <c r="D11" s="9">
        <v>1693</v>
      </c>
      <c r="E11" s="9">
        <v>1609</v>
      </c>
      <c r="F11" s="13">
        <v>2297</v>
      </c>
      <c r="G11" s="13">
        <v>2020</v>
      </c>
      <c r="H11" s="13">
        <v>2064</v>
      </c>
      <c r="I11" s="13">
        <v>2377</v>
      </c>
      <c r="J11" s="13">
        <v>2314</v>
      </c>
      <c r="K11" s="13">
        <v>2854</v>
      </c>
    </row>
    <row r="12" spans="1:11" x14ac:dyDescent="0.25">
      <c r="A12" s="19" t="s">
        <v>56</v>
      </c>
      <c r="D12" s="9">
        <v>619</v>
      </c>
      <c r="E12" s="9">
        <v>706</v>
      </c>
      <c r="F12" s="13">
        <v>534</v>
      </c>
      <c r="G12" s="13">
        <v>379</v>
      </c>
      <c r="H12" s="13">
        <v>519</v>
      </c>
      <c r="I12" s="13">
        <v>916</v>
      </c>
      <c r="J12" s="13">
        <v>592</v>
      </c>
      <c r="K12" s="13">
        <v>730</v>
      </c>
    </row>
    <row r="13" spans="1:11" x14ac:dyDescent="0.25">
      <c r="A13" s="19" t="s">
        <v>71</v>
      </c>
      <c r="F13" s="13">
        <v>925</v>
      </c>
      <c r="G13" s="13">
        <v>119</v>
      </c>
    </row>
    <row r="14" spans="1:11" ht="38.25" x14ac:dyDescent="0.25">
      <c r="A14" s="26" t="s">
        <v>135</v>
      </c>
      <c r="B14" s="9">
        <v>318</v>
      </c>
      <c r="C14" s="9">
        <v>367</v>
      </c>
      <c r="D14" s="9">
        <v>404</v>
      </c>
      <c r="E14" s="9">
        <v>357</v>
      </c>
      <c r="F14" s="13">
        <v>318</v>
      </c>
      <c r="G14" s="13">
        <v>318</v>
      </c>
      <c r="H14" s="13">
        <v>372</v>
      </c>
      <c r="I14" s="13">
        <v>413</v>
      </c>
      <c r="J14" s="13">
        <v>463</v>
      </c>
      <c r="K14" s="13">
        <v>521</v>
      </c>
    </row>
    <row r="15" spans="1:11" x14ac:dyDescent="0.25">
      <c r="A15" s="19" t="s">
        <v>122</v>
      </c>
      <c r="F15" s="13">
        <v>1078</v>
      </c>
      <c r="G15" s="13">
        <v>1987</v>
      </c>
    </row>
    <row r="16" spans="1:11" x14ac:dyDescent="0.25">
      <c r="A16" s="19" t="s">
        <v>16</v>
      </c>
      <c r="B16" s="9">
        <v>355</v>
      </c>
      <c r="C16" s="9">
        <v>461</v>
      </c>
      <c r="D16" s="9">
        <v>463</v>
      </c>
      <c r="E16" s="9">
        <v>1736</v>
      </c>
    </row>
    <row r="17" spans="1:13" x14ac:dyDescent="0.25">
      <c r="A17" s="19" t="s">
        <v>17</v>
      </c>
      <c r="B17" s="28">
        <v>1159</v>
      </c>
      <c r="C17" s="28">
        <v>1418</v>
      </c>
      <c r="D17" s="28">
        <v>1344</v>
      </c>
      <c r="E17" s="28">
        <v>1318</v>
      </c>
      <c r="F17" s="29">
        <v>701</v>
      </c>
      <c r="G17" s="29">
        <v>796</v>
      </c>
      <c r="H17" s="29">
        <v>1247</v>
      </c>
      <c r="I17" s="29">
        <v>1499</v>
      </c>
      <c r="J17" s="29">
        <v>1406</v>
      </c>
      <c r="K17" s="29">
        <v>1262</v>
      </c>
    </row>
    <row r="18" spans="1:13" x14ac:dyDescent="0.25">
      <c r="A18" s="20" t="s">
        <v>18</v>
      </c>
      <c r="B18" s="30">
        <v>7307</v>
      </c>
      <c r="C18" s="30">
        <v>7729</v>
      </c>
      <c r="D18" s="30">
        <v>8272</v>
      </c>
      <c r="E18" s="30">
        <v>9651</v>
      </c>
      <c r="F18" s="31">
        <v>9158</v>
      </c>
      <c r="G18" s="31">
        <v>9056</v>
      </c>
      <c r="H18" s="31">
        <v>7451</v>
      </c>
      <c r="I18" s="31">
        <v>7844</v>
      </c>
      <c r="J18" s="31">
        <v>6340</v>
      </c>
      <c r="K18" s="31">
        <v>8249</v>
      </c>
    </row>
    <row r="19" spans="1:13" x14ac:dyDescent="0.25">
      <c r="A19" s="17" t="s">
        <v>98</v>
      </c>
      <c r="B19" s="7"/>
      <c r="C19" s="7"/>
      <c r="D19" s="7"/>
      <c r="E19" s="7"/>
      <c r="F19" s="12"/>
      <c r="G19" s="12"/>
      <c r="H19" s="12"/>
      <c r="I19" s="12"/>
    </row>
    <row r="20" spans="1:13" x14ac:dyDescent="0.25">
      <c r="A20" s="27" t="s">
        <v>136</v>
      </c>
      <c r="B20" s="9">
        <v>20307</v>
      </c>
      <c r="C20" s="9">
        <v>20223</v>
      </c>
      <c r="D20" s="9">
        <v>20713</v>
      </c>
      <c r="E20" s="9">
        <v>21854</v>
      </c>
      <c r="F20" s="13">
        <v>21929</v>
      </c>
      <c r="G20" s="13">
        <v>23039</v>
      </c>
      <c r="H20" s="13">
        <v>24375</v>
      </c>
      <c r="I20" s="13">
        <v>26563</v>
      </c>
      <c r="J20" s="13">
        <v>28335</v>
      </c>
      <c r="K20" s="13">
        <v>31310</v>
      </c>
    </row>
    <row r="21" spans="1:13" x14ac:dyDescent="0.25">
      <c r="A21" s="19" t="s">
        <v>123</v>
      </c>
      <c r="B21" s="44"/>
      <c r="C21" s="44"/>
      <c r="D21" s="44"/>
      <c r="E21" s="44"/>
      <c r="F21" s="44"/>
      <c r="G21" s="44"/>
      <c r="H21" s="44"/>
      <c r="I21" s="44"/>
      <c r="J21" s="45">
        <v>5994</v>
      </c>
      <c r="K21" s="45">
        <v>5627</v>
      </c>
    </row>
    <row r="22" spans="1:13" x14ac:dyDescent="0.25">
      <c r="A22" s="20" t="s">
        <v>101</v>
      </c>
      <c r="B22" s="46">
        <f>SUM(B20:B21)</f>
        <v>20307</v>
      </c>
      <c r="C22" s="46">
        <f>SUM(C20:C21)</f>
        <v>20223</v>
      </c>
      <c r="D22" s="46">
        <f>SUM(D20:D21)</f>
        <v>20713</v>
      </c>
      <c r="E22" s="46">
        <f>SUM(E20:E21)</f>
        <v>21854</v>
      </c>
      <c r="F22" s="46">
        <f>SUM(F20:F21)</f>
        <v>21929</v>
      </c>
      <c r="G22" s="46">
        <f>SUM(G20:G21)</f>
        <v>23039</v>
      </c>
      <c r="H22" s="46">
        <f>SUM(H20:H21)</f>
        <v>24375</v>
      </c>
      <c r="I22" s="46">
        <f>SUM(I20:I21)</f>
        <v>26563</v>
      </c>
      <c r="J22" s="46">
        <f>SUM(J20:J21)</f>
        <v>34329</v>
      </c>
      <c r="K22" s="46">
        <f>SUM(K20:K21)</f>
        <v>36937</v>
      </c>
    </row>
    <row r="23" spans="1:13" x14ac:dyDescent="0.25">
      <c r="A23" s="17" t="s">
        <v>22</v>
      </c>
      <c r="B23" s="7"/>
      <c r="C23" s="7"/>
      <c r="D23" s="7"/>
      <c r="E23" s="7"/>
      <c r="F23" s="12"/>
      <c r="G23" s="12"/>
      <c r="H23" s="12"/>
      <c r="I23" s="12"/>
    </row>
    <row r="24" spans="1:13" x14ac:dyDescent="0.25">
      <c r="A24" s="19" t="s">
        <v>23</v>
      </c>
      <c r="B24" s="9">
        <v>9794</v>
      </c>
      <c r="C24" s="9">
        <v>9794</v>
      </c>
      <c r="D24" s="9">
        <v>9794</v>
      </c>
      <c r="E24" s="9">
        <v>9794</v>
      </c>
      <c r="F24" s="13">
        <v>9794</v>
      </c>
      <c r="G24" s="13">
        <v>9794</v>
      </c>
      <c r="H24" s="13">
        <v>9794</v>
      </c>
      <c r="I24" s="13">
        <v>9794</v>
      </c>
      <c r="J24" s="13">
        <v>9781</v>
      </c>
      <c r="K24" s="13">
        <v>9781</v>
      </c>
    </row>
    <row r="25" spans="1:13" x14ac:dyDescent="0.25">
      <c r="A25" s="21" t="s">
        <v>132</v>
      </c>
      <c r="B25" s="9">
        <v>4749</v>
      </c>
      <c r="C25" s="9">
        <v>4751</v>
      </c>
      <c r="D25" s="9">
        <v>4679</v>
      </c>
      <c r="E25" s="9">
        <v>4658</v>
      </c>
      <c r="F25" s="13">
        <v>4603</v>
      </c>
      <c r="G25" s="13">
        <v>4861</v>
      </c>
      <c r="H25" s="13">
        <v>4844</v>
      </c>
      <c r="I25" s="13">
        <v>4847</v>
      </c>
      <c r="J25" s="13">
        <v>4830</v>
      </c>
      <c r="K25" s="13">
        <v>5163</v>
      </c>
    </row>
    <row r="26" spans="1:13" x14ac:dyDescent="0.25">
      <c r="A26" s="19" t="s">
        <v>124</v>
      </c>
      <c r="J26" s="13">
        <v>1136</v>
      </c>
      <c r="K26" s="13">
        <v>636</v>
      </c>
    </row>
    <row r="27" spans="1:13" x14ac:dyDescent="0.25">
      <c r="A27" s="19" t="s">
        <v>16</v>
      </c>
      <c r="B27" s="10">
        <v>0</v>
      </c>
      <c r="C27" s="10">
        <v>0</v>
      </c>
      <c r="D27" s="10">
        <v>0</v>
      </c>
      <c r="E27" s="9">
        <v>4992</v>
      </c>
      <c r="F27" s="13">
        <v>7595</v>
      </c>
      <c r="G27" s="13">
        <v>4956</v>
      </c>
      <c r="H27" s="13">
        <v>3064</v>
      </c>
      <c r="I27" s="13">
        <v>935</v>
      </c>
      <c r="J27" s="10">
        <v>0</v>
      </c>
      <c r="K27" s="10">
        <v>0</v>
      </c>
    </row>
    <row r="28" spans="1:13" x14ac:dyDescent="0.25">
      <c r="A28" s="19" t="s">
        <v>26</v>
      </c>
      <c r="B28" s="28">
        <v>1031</v>
      </c>
      <c r="C28" s="28">
        <v>1002</v>
      </c>
      <c r="D28" s="28">
        <v>1092</v>
      </c>
      <c r="E28" s="28">
        <v>1303</v>
      </c>
      <c r="F28" s="29">
        <v>926</v>
      </c>
      <c r="G28" s="29">
        <v>1428</v>
      </c>
      <c r="H28" s="29">
        <v>1733</v>
      </c>
      <c r="I28" s="29">
        <v>3309</v>
      </c>
      <c r="J28" s="29">
        <v>3850</v>
      </c>
      <c r="K28" s="29">
        <v>3766</v>
      </c>
      <c r="L28" s="43"/>
      <c r="M28" s="43"/>
    </row>
    <row r="29" spans="1:13" x14ac:dyDescent="0.25">
      <c r="A29" s="20" t="s">
        <v>27</v>
      </c>
      <c r="B29" s="30">
        <v>15574</v>
      </c>
      <c r="C29" s="30">
        <v>15547</v>
      </c>
      <c r="D29" s="30">
        <v>15565</v>
      </c>
      <c r="E29" s="30">
        <v>20747</v>
      </c>
      <c r="F29" s="31">
        <v>22918</v>
      </c>
      <c r="G29" s="31">
        <v>21039</v>
      </c>
      <c r="H29" s="31">
        <v>19435</v>
      </c>
      <c r="I29" s="31">
        <v>18885</v>
      </c>
      <c r="J29" s="31">
        <v>19597</v>
      </c>
      <c r="K29" s="31">
        <v>19346</v>
      </c>
    </row>
    <row r="30" spans="1:13" ht="15.75" thickBot="1" x14ac:dyDescent="0.3">
      <c r="A30" s="6" t="s">
        <v>28</v>
      </c>
      <c r="B30" s="33">
        <v>43188</v>
      </c>
      <c r="C30" s="33">
        <v>43499</v>
      </c>
      <c r="D30" s="33">
        <v>44550</v>
      </c>
      <c r="E30" s="33">
        <v>52252</v>
      </c>
      <c r="F30" s="34">
        <v>54005</v>
      </c>
      <c r="G30" s="34">
        <v>53134</v>
      </c>
      <c r="H30" s="34">
        <v>51261</v>
      </c>
      <c r="I30" s="34">
        <v>53292</v>
      </c>
      <c r="J30" s="34">
        <v>60266</v>
      </c>
      <c r="K30" s="34">
        <v>64532</v>
      </c>
      <c r="L30" s="41"/>
    </row>
    <row r="31" spans="1:13" ht="15.75" thickTop="1" x14ac:dyDescent="0.25">
      <c r="A31" s="40" t="s">
        <v>60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3" x14ac:dyDescent="0.25">
      <c r="A32" s="17" t="s">
        <v>30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</row>
    <row r="33" spans="1:11" x14ac:dyDescent="0.25">
      <c r="A33" s="19" t="s">
        <v>31</v>
      </c>
      <c r="B33" s="8">
        <v>2073</v>
      </c>
      <c r="C33" s="8">
        <v>1944</v>
      </c>
      <c r="D33" s="8">
        <v>1627</v>
      </c>
      <c r="E33" s="8">
        <v>1547</v>
      </c>
      <c r="F33" s="14">
        <v>1184</v>
      </c>
      <c r="G33" s="14">
        <v>1563</v>
      </c>
      <c r="H33" s="14">
        <v>1131</v>
      </c>
      <c r="I33" s="14">
        <v>2242</v>
      </c>
      <c r="J33" s="14">
        <v>1518</v>
      </c>
      <c r="K33" s="14">
        <v>2287</v>
      </c>
    </row>
    <row r="34" spans="1:11" x14ac:dyDescent="0.25">
      <c r="A34" s="19" t="s">
        <v>125</v>
      </c>
      <c r="J34" s="13">
        <v>955</v>
      </c>
      <c r="K34" s="13">
        <v>801</v>
      </c>
    </row>
    <row r="35" spans="1:11" x14ac:dyDescent="0.25">
      <c r="A35" s="19" t="s">
        <v>32</v>
      </c>
      <c r="B35" s="9">
        <v>3306</v>
      </c>
      <c r="C35" s="9">
        <v>3480</v>
      </c>
      <c r="D35" s="9">
        <v>3696</v>
      </c>
      <c r="E35" s="9">
        <v>4122</v>
      </c>
      <c r="F35" s="13">
        <v>4296</v>
      </c>
      <c r="G35" s="13">
        <v>4503</v>
      </c>
      <c r="H35" s="13">
        <v>4626</v>
      </c>
      <c r="I35" s="13">
        <v>4888</v>
      </c>
      <c r="J35" s="13">
        <v>4661</v>
      </c>
      <c r="K35" s="13">
        <v>5116</v>
      </c>
    </row>
    <row r="36" spans="1:11" x14ac:dyDescent="0.25">
      <c r="A36" s="19" t="s">
        <v>33</v>
      </c>
      <c r="B36" s="9">
        <v>1713</v>
      </c>
      <c r="C36" s="9">
        <v>1600</v>
      </c>
      <c r="D36" s="9">
        <v>2293</v>
      </c>
      <c r="E36" s="9">
        <v>2300</v>
      </c>
      <c r="F36" s="13">
        <v>2622</v>
      </c>
      <c r="G36" s="13">
        <v>2743</v>
      </c>
      <c r="H36" s="13">
        <v>2572</v>
      </c>
      <c r="I36" s="13">
        <v>3674</v>
      </c>
      <c r="J36" s="13">
        <v>2976</v>
      </c>
      <c r="K36" s="13">
        <v>3266</v>
      </c>
    </row>
    <row r="37" spans="1:11" x14ac:dyDescent="0.25">
      <c r="A37" s="19" t="s">
        <v>35</v>
      </c>
      <c r="B37" s="9">
        <v>1370</v>
      </c>
      <c r="C37" s="9">
        <v>1367</v>
      </c>
      <c r="D37" s="9">
        <v>1680</v>
      </c>
      <c r="E37" s="9">
        <v>1926</v>
      </c>
      <c r="F37" s="13">
        <v>2266</v>
      </c>
      <c r="G37" s="13">
        <v>3195</v>
      </c>
      <c r="H37" s="13">
        <v>2924</v>
      </c>
      <c r="I37" s="13">
        <v>3022</v>
      </c>
      <c r="J37" s="13">
        <v>3287</v>
      </c>
      <c r="K37" s="13">
        <v>3701</v>
      </c>
    </row>
    <row r="38" spans="1:11" x14ac:dyDescent="0.25">
      <c r="A38" s="23" t="s">
        <v>126</v>
      </c>
      <c r="F38" s="13">
        <v>2772</v>
      </c>
      <c r="G38" s="13">
        <v>2581</v>
      </c>
    </row>
    <row r="39" spans="1:11" x14ac:dyDescent="0.25">
      <c r="A39" s="19" t="s">
        <v>34</v>
      </c>
      <c r="B39" s="9">
        <v>1690</v>
      </c>
      <c r="C39" s="9">
        <v>1849</v>
      </c>
      <c r="D39" s="9">
        <v>1806</v>
      </c>
      <c r="E39" s="9">
        <v>1861</v>
      </c>
      <c r="F39" s="13">
        <v>1580</v>
      </c>
      <c r="G39" s="13">
        <v>1635</v>
      </c>
      <c r="H39" s="13">
        <v>1648</v>
      </c>
      <c r="I39" s="13">
        <v>1822</v>
      </c>
      <c r="J39" s="13">
        <v>2989</v>
      </c>
      <c r="K39" s="13">
        <v>3219</v>
      </c>
    </row>
    <row r="40" spans="1:11" x14ac:dyDescent="0.25">
      <c r="A40" s="19" t="s">
        <v>36</v>
      </c>
      <c r="B40" s="9">
        <v>579</v>
      </c>
      <c r="C40" s="9">
        <v>594</v>
      </c>
      <c r="D40" s="9">
        <v>585</v>
      </c>
      <c r="E40" s="9">
        <v>673</v>
      </c>
    </row>
    <row r="41" spans="1:11" x14ac:dyDescent="0.25">
      <c r="A41" s="19" t="s">
        <v>61</v>
      </c>
      <c r="D41" s="9">
        <v>455</v>
      </c>
      <c r="E41" s="9">
        <v>602</v>
      </c>
      <c r="H41" s="13">
        <v>431</v>
      </c>
      <c r="I41" s="13">
        <v>1067</v>
      </c>
      <c r="J41" s="13">
        <v>1075</v>
      </c>
      <c r="K41" s="13">
        <v>736</v>
      </c>
    </row>
    <row r="42" spans="1:11" x14ac:dyDescent="0.25">
      <c r="A42" s="19" t="s">
        <v>37</v>
      </c>
      <c r="B42" s="28">
        <v>654</v>
      </c>
      <c r="C42" s="28">
        <v>1867</v>
      </c>
      <c r="D42" s="28">
        <v>1128</v>
      </c>
      <c r="E42" s="28">
        <v>1121</v>
      </c>
      <c r="F42" s="29">
        <v>2127</v>
      </c>
      <c r="G42" s="29">
        <v>1306</v>
      </c>
      <c r="H42" s="29">
        <v>1907</v>
      </c>
      <c r="I42" s="29">
        <v>1858</v>
      </c>
      <c r="J42" s="29">
        <v>1117</v>
      </c>
      <c r="K42" s="29">
        <v>1078</v>
      </c>
    </row>
    <row r="43" spans="1:11" x14ac:dyDescent="0.25">
      <c r="A43" s="20" t="s">
        <v>38</v>
      </c>
      <c r="B43" s="30">
        <v>11385</v>
      </c>
      <c r="C43" s="30">
        <v>12701</v>
      </c>
      <c r="D43" s="30">
        <v>13270</v>
      </c>
      <c r="E43" s="30">
        <v>14152</v>
      </c>
      <c r="F43" s="31">
        <v>16847</v>
      </c>
      <c r="G43" s="31">
        <v>17526</v>
      </c>
      <c r="H43" s="31">
        <v>15239</v>
      </c>
      <c r="I43" s="31">
        <v>18573</v>
      </c>
      <c r="J43" s="31">
        <v>18578</v>
      </c>
      <c r="K43" s="31">
        <v>20204</v>
      </c>
    </row>
    <row r="44" spans="1:11" x14ac:dyDescent="0.25">
      <c r="A44" s="17" t="s">
        <v>39</v>
      </c>
      <c r="B44" s="7"/>
      <c r="C44" s="7"/>
      <c r="D44" s="7"/>
      <c r="E44" s="7"/>
      <c r="F44" s="12"/>
      <c r="G44" s="12"/>
      <c r="H44" s="12"/>
      <c r="I44" s="12"/>
      <c r="J44" s="12"/>
      <c r="K44" s="12"/>
    </row>
    <row r="45" spans="1:11" x14ac:dyDescent="0.25">
      <c r="A45" s="19" t="s">
        <v>40</v>
      </c>
      <c r="B45" s="9">
        <v>13179</v>
      </c>
      <c r="C45" s="9">
        <v>11847</v>
      </c>
      <c r="D45" s="9">
        <v>11082</v>
      </c>
      <c r="E45" s="9">
        <v>9795</v>
      </c>
      <c r="F45" s="13">
        <v>8477</v>
      </c>
      <c r="G45" s="13">
        <v>6766</v>
      </c>
      <c r="H45" s="13">
        <v>6201</v>
      </c>
      <c r="I45" s="13">
        <v>6592</v>
      </c>
      <c r="J45" s="13">
        <v>8253</v>
      </c>
      <c r="K45" s="13">
        <v>8873</v>
      </c>
    </row>
    <row r="46" spans="1:11" x14ac:dyDescent="0.25">
      <c r="A46" s="19" t="s">
        <v>41</v>
      </c>
      <c r="B46" s="9">
        <v>11493</v>
      </c>
      <c r="C46" s="9">
        <v>14200</v>
      </c>
      <c r="D46" s="9">
        <v>16005</v>
      </c>
      <c r="E46" s="9">
        <v>12392</v>
      </c>
      <c r="F46" s="13">
        <v>15138</v>
      </c>
      <c r="G46" s="13">
        <v>13855</v>
      </c>
      <c r="H46" s="13">
        <v>13378</v>
      </c>
      <c r="I46" s="13">
        <v>9810</v>
      </c>
      <c r="J46" s="13">
        <v>9163</v>
      </c>
      <c r="K46" s="13">
        <v>8452</v>
      </c>
    </row>
    <row r="47" spans="1:11" x14ac:dyDescent="0.25">
      <c r="A47" s="23" t="s">
        <v>127</v>
      </c>
      <c r="J47" s="13">
        <v>3652</v>
      </c>
      <c r="K47" s="13">
        <v>3509</v>
      </c>
    </row>
    <row r="48" spans="1:11" x14ac:dyDescent="0.25">
      <c r="A48" s="19" t="s">
        <v>34</v>
      </c>
      <c r="B48" s="9">
        <v>2777</v>
      </c>
      <c r="C48" s="9">
        <v>2700</v>
      </c>
      <c r="D48" s="9">
        <v>2628</v>
      </c>
      <c r="E48" s="9">
        <v>2559</v>
      </c>
      <c r="F48" s="13">
        <v>2602</v>
      </c>
      <c r="G48" s="13">
        <v>2246</v>
      </c>
      <c r="H48" s="13">
        <v>2278</v>
      </c>
      <c r="I48" s="13">
        <v>2296</v>
      </c>
    </row>
    <row r="49" spans="1:11" x14ac:dyDescent="0.25">
      <c r="A49" s="19" t="s">
        <v>16</v>
      </c>
      <c r="B49" s="9">
        <v>1924</v>
      </c>
      <c r="C49" s="9">
        <v>2028</v>
      </c>
      <c r="D49" s="9">
        <v>2047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3">
        <v>163</v>
      </c>
      <c r="K49" s="13">
        <v>1456</v>
      </c>
    </row>
    <row r="50" spans="1:11" x14ac:dyDescent="0.25">
      <c r="A50" s="19" t="s">
        <v>128</v>
      </c>
      <c r="J50" s="13">
        <v>5801</v>
      </c>
      <c r="K50" s="13">
        <v>5294</v>
      </c>
    </row>
    <row r="51" spans="1:11" x14ac:dyDescent="0.25">
      <c r="A51" s="19" t="s">
        <v>42</v>
      </c>
      <c r="B51" s="9">
        <v>1533</v>
      </c>
      <c r="C51" s="9">
        <v>1419</v>
      </c>
      <c r="D51" s="9">
        <v>1649</v>
      </c>
      <c r="E51" s="9">
        <v>1711</v>
      </c>
      <c r="F51" s="13">
        <v>2128</v>
      </c>
      <c r="G51" s="13">
        <v>1891</v>
      </c>
      <c r="H51" s="13">
        <v>1878</v>
      </c>
      <c r="I51" s="13">
        <v>2111</v>
      </c>
      <c r="J51" s="13">
        <v>969</v>
      </c>
      <c r="K51" s="13">
        <v>1386</v>
      </c>
    </row>
    <row r="52" spans="1:11" x14ac:dyDescent="0.25">
      <c r="A52" s="20" t="s">
        <v>43</v>
      </c>
      <c r="B52" s="30">
        <v>30906</v>
      </c>
      <c r="C52" s="30">
        <v>32194</v>
      </c>
      <c r="D52" s="30">
        <v>33411</v>
      </c>
      <c r="E52" s="30">
        <v>26457</v>
      </c>
      <c r="F52" s="31">
        <v>28345</v>
      </c>
      <c r="G52" s="31">
        <v>24758</v>
      </c>
      <c r="H52" s="31">
        <v>23735</v>
      </c>
      <c r="I52" s="31">
        <v>20809</v>
      </c>
      <c r="J52" s="31">
        <v>28001</v>
      </c>
      <c r="K52" s="31">
        <v>28970</v>
      </c>
    </row>
    <row r="53" spans="1:11" x14ac:dyDescent="0.25">
      <c r="A53" s="17" t="s">
        <v>44</v>
      </c>
      <c r="B53" s="7"/>
      <c r="C53" s="7"/>
      <c r="D53" s="7"/>
      <c r="E53" s="42"/>
      <c r="F53" s="12"/>
      <c r="G53" s="12"/>
      <c r="H53" s="12"/>
      <c r="I53" s="12"/>
      <c r="J53" s="12"/>
      <c r="K53" s="12"/>
    </row>
    <row r="54" spans="1:11" x14ac:dyDescent="0.25">
      <c r="A54" s="17" t="s">
        <v>62</v>
      </c>
      <c r="B54" s="7"/>
      <c r="C54" s="7"/>
      <c r="D54" s="7"/>
      <c r="E54" s="7"/>
      <c r="F54" s="12"/>
      <c r="G54" s="12"/>
      <c r="H54" s="12"/>
      <c r="I54" s="12"/>
      <c r="J54" s="12"/>
      <c r="K54" s="12"/>
    </row>
    <row r="55" spans="1:11" ht="38.25" x14ac:dyDescent="0.25">
      <c r="A55" s="26" t="s">
        <v>134</v>
      </c>
      <c r="B55" s="10">
        <v>0</v>
      </c>
      <c r="C55" s="10">
        <v>0</v>
      </c>
      <c r="D55" s="10">
        <v>0</v>
      </c>
      <c r="E55" s="10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</row>
    <row r="56" spans="1:11" x14ac:dyDescent="0.25">
      <c r="A56" s="19" t="s">
        <v>49</v>
      </c>
      <c r="B56" s="9">
        <v>13926</v>
      </c>
      <c r="C56" s="9">
        <v>13999</v>
      </c>
      <c r="D56" s="9">
        <v>14069</v>
      </c>
      <c r="E56" s="9">
        <v>13982</v>
      </c>
      <c r="F56" s="13">
        <v>12981</v>
      </c>
      <c r="G56" s="13">
        <v>10875</v>
      </c>
      <c r="H56" s="13">
        <v>12294</v>
      </c>
      <c r="I56" s="13">
        <v>12053</v>
      </c>
      <c r="J56" s="13">
        <v>11671</v>
      </c>
      <c r="K56" s="13">
        <v>11129</v>
      </c>
    </row>
    <row r="57" spans="1:11" x14ac:dyDescent="0.25">
      <c r="A57" s="19" t="s">
        <v>65</v>
      </c>
      <c r="B57" s="9">
        <v>-9252</v>
      </c>
      <c r="C57" s="9">
        <v>-8398</v>
      </c>
      <c r="D57" s="9">
        <v>-7389</v>
      </c>
      <c r="E57" s="9">
        <v>3049</v>
      </c>
      <c r="F57" s="13">
        <v>3456</v>
      </c>
      <c r="G57" s="13">
        <v>7623</v>
      </c>
      <c r="H57" s="13">
        <v>7903</v>
      </c>
      <c r="I57" s="13">
        <v>9636</v>
      </c>
      <c r="J57" s="13">
        <v>10039</v>
      </c>
      <c r="K57" s="13">
        <v>12454</v>
      </c>
    </row>
    <row r="58" spans="1:11" x14ac:dyDescent="0.25">
      <c r="A58" s="19" t="s">
        <v>50</v>
      </c>
      <c r="B58" s="9">
        <v>-3578</v>
      </c>
      <c r="C58" s="9">
        <v>-6766</v>
      </c>
      <c r="D58" s="9">
        <v>-8577</v>
      </c>
      <c r="E58" s="9">
        <v>-5130</v>
      </c>
      <c r="F58" s="13">
        <v>-7311</v>
      </c>
      <c r="G58" s="13">
        <v>-7275</v>
      </c>
      <c r="H58" s="13">
        <v>-7636</v>
      </c>
      <c r="I58" s="13">
        <v>-7621</v>
      </c>
      <c r="J58" s="13">
        <v>-7825</v>
      </c>
      <c r="K58" s="13">
        <v>-7989</v>
      </c>
    </row>
    <row r="59" spans="1:11" ht="25.5" x14ac:dyDescent="0.25">
      <c r="A59" s="26" t="s">
        <v>133</v>
      </c>
      <c r="B59" s="9">
        <v>-199</v>
      </c>
      <c r="C59" s="9">
        <v>-231</v>
      </c>
      <c r="D59" s="35">
        <v>-234</v>
      </c>
      <c r="E59" s="35">
        <v>-258</v>
      </c>
      <c r="F59" s="13">
        <v>-313</v>
      </c>
      <c r="G59" s="13">
        <v>-373</v>
      </c>
      <c r="H59" s="13">
        <v>-274</v>
      </c>
      <c r="I59" s="13">
        <v>-158</v>
      </c>
      <c r="J59" s="13">
        <v>-198</v>
      </c>
      <c r="K59" s="13">
        <v>-236</v>
      </c>
    </row>
    <row r="60" spans="1:11" x14ac:dyDescent="0.25">
      <c r="A60" s="20" t="s">
        <v>67</v>
      </c>
      <c r="B60" s="30">
        <v>897</v>
      </c>
      <c r="C60" s="30">
        <v>-1396</v>
      </c>
      <c r="D60" s="30">
        <v>-2131</v>
      </c>
      <c r="E60" s="30">
        <v>11643</v>
      </c>
      <c r="F60" s="31">
        <v>8813</v>
      </c>
      <c r="G60" s="31">
        <v>10850</v>
      </c>
      <c r="H60" s="31">
        <v>12287</v>
      </c>
      <c r="I60" s="31">
        <v>13910</v>
      </c>
      <c r="J60" s="31">
        <v>13687</v>
      </c>
      <c r="K60" s="31">
        <v>15358</v>
      </c>
    </row>
    <row r="61" spans="1:11" ht="15.75" thickBot="1" x14ac:dyDescent="0.3">
      <c r="A61" s="6" t="s">
        <v>68</v>
      </c>
      <c r="B61" s="33">
        <v>43188</v>
      </c>
      <c r="C61" s="33">
        <v>43499</v>
      </c>
      <c r="D61" s="33">
        <v>44550</v>
      </c>
      <c r="E61" s="33">
        <v>52252</v>
      </c>
      <c r="F61" s="34">
        <v>54005</v>
      </c>
      <c r="G61" s="34">
        <v>53134</v>
      </c>
      <c r="H61" s="34">
        <v>51261</v>
      </c>
      <c r="I61" s="34">
        <v>53292</v>
      </c>
      <c r="J61" s="34">
        <v>60266</v>
      </c>
      <c r="K61" s="34">
        <v>64532</v>
      </c>
    </row>
    <row r="62" spans="1:11" ht="15.75" thickTop="1" x14ac:dyDescent="0.25"/>
    <row r="64" spans="1:11" x14ac:dyDescent="0.25">
      <c r="A64" s="5" t="s">
        <v>186</v>
      </c>
    </row>
  </sheetData>
  <mergeCells count="5">
    <mergeCell ref="B2:K2"/>
    <mergeCell ref="B3:K3"/>
    <mergeCell ref="B4:K4"/>
    <mergeCell ref="A6:K6"/>
    <mergeCell ref="A31:K3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C42A-D76C-45B8-AE84-F310A2B70025}">
  <dimension ref="A1:O148"/>
  <sheetViews>
    <sheetView topLeftCell="B7" zoomScale="80" zoomScaleNormal="80" workbookViewId="0">
      <selection activeCell="N8" sqref="N8:O8"/>
    </sheetView>
  </sheetViews>
  <sheetFormatPr defaultRowHeight="15" x14ac:dyDescent="0.25"/>
  <cols>
    <col min="1" max="1" width="53.140625" bestFit="1" customWidth="1"/>
    <col min="4" max="4" width="53.140625" bestFit="1" customWidth="1"/>
    <col min="7" max="7" width="54.140625" bestFit="1" customWidth="1"/>
    <col min="10" max="10" width="55" bestFit="1" customWidth="1"/>
    <col min="13" max="13" width="61.7109375" bestFit="1" customWidth="1"/>
  </cols>
  <sheetData>
    <row r="1" spans="1:15" ht="15.75" hidden="1" thickBot="1" x14ac:dyDescent="0.3">
      <c r="A1" t="s">
        <v>0</v>
      </c>
      <c r="B1" s="1">
        <v>44013</v>
      </c>
    </row>
    <row r="2" spans="1:15" ht="16.5" hidden="1" thickBot="1" x14ac:dyDescent="0.3">
      <c r="B2" s="2" t="s">
        <v>1</v>
      </c>
      <c r="C2" s="2"/>
      <c r="D2" s="2"/>
      <c r="E2" s="2"/>
      <c r="F2" s="2"/>
      <c r="G2" s="2"/>
      <c r="H2" s="2"/>
      <c r="I2" s="2"/>
    </row>
    <row r="3" spans="1:15" ht="15.75" hidden="1" thickBot="1" x14ac:dyDescent="0.3">
      <c r="B3" s="3" t="s">
        <v>2</v>
      </c>
      <c r="C3" s="3"/>
      <c r="D3" s="3"/>
      <c r="E3" s="3"/>
      <c r="F3" s="3"/>
      <c r="G3" s="3"/>
      <c r="H3" s="3"/>
      <c r="I3" s="3"/>
    </row>
    <row r="4" spans="1:15" ht="15.75" hidden="1" thickBot="1" x14ac:dyDescent="0.3">
      <c r="B4" s="4" t="s">
        <v>3</v>
      </c>
      <c r="C4" s="4"/>
      <c r="D4" s="4"/>
      <c r="E4" s="4"/>
      <c r="F4" s="4"/>
      <c r="G4" s="4"/>
      <c r="H4" s="4"/>
      <c r="I4" s="4"/>
    </row>
    <row r="5" spans="1:15" ht="15.75" hidden="1" thickBot="1" x14ac:dyDescent="0.3">
      <c r="A5" t="s">
        <v>4</v>
      </c>
    </row>
    <row r="6" spans="1:15" ht="15.75" hidden="1" thickBot="1" x14ac:dyDescent="0.3">
      <c r="B6" s="5">
        <v>2010</v>
      </c>
      <c r="C6" s="5">
        <v>2011</v>
      </c>
      <c r="D6" s="5">
        <v>2013</v>
      </c>
      <c r="E6" s="5">
        <v>2014</v>
      </c>
      <c r="F6" s="5">
        <v>2015</v>
      </c>
      <c r="G6" s="5">
        <v>2017</v>
      </c>
      <c r="H6" s="5">
        <v>2018</v>
      </c>
      <c r="I6" s="5">
        <v>2019</v>
      </c>
    </row>
    <row r="7" spans="1:15" x14ac:dyDescent="0.25">
      <c r="A7" s="63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5"/>
    </row>
    <row r="8" spans="1:15" x14ac:dyDescent="0.25">
      <c r="A8" s="66" t="s">
        <v>4</v>
      </c>
      <c r="B8" s="141">
        <v>2010</v>
      </c>
      <c r="C8" s="141">
        <v>2011</v>
      </c>
      <c r="D8" s="67" t="s">
        <v>4</v>
      </c>
      <c r="E8" s="141">
        <v>2012</v>
      </c>
      <c r="F8" s="141">
        <v>2013</v>
      </c>
      <c r="G8" s="68" t="s">
        <v>4</v>
      </c>
      <c r="H8" s="142">
        <v>2014</v>
      </c>
      <c r="I8" s="142">
        <v>2015</v>
      </c>
      <c r="J8" s="68" t="s">
        <v>4</v>
      </c>
      <c r="K8" s="142">
        <v>2016</v>
      </c>
      <c r="L8" s="142">
        <v>2017</v>
      </c>
      <c r="M8" s="68" t="s">
        <v>4</v>
      </c>
      <c r="N8" s="142">
        <v>2018</v>
      </c>
      <c r="O8" s="143">
        <v>2019</v>
      </c>
    </row>
    <row r="9" spans="1:15" x14ac:dyDescent="0.25">
      <c r="A9" s="66" t="s">
        <v>5</v>
      </c>
      <c r="B9" s="70"/>
      <c r="C9" s="70"/>
      <c r="D9" s="67" t="s">
        <v>5</v>
      </c>
      <c r="E9" s="70"/>
      <c r="F9" s="70"/>
      <c r="G9" s="68" t="s">
        <v>5</v>
      </c>
      <c r="H9" s="71"/>
      <c r="I9" s="71"/>
      <c r="J9" s="68" t="s">
        <v>5</v>
      </c>
      <c r="K9" s="71"/>
      <c r="L9" s="71"/>
      <c r="M9" s="68" t="s">
        <v>5</v>
      </c>
      <c r="N9" s="71"/>
      <c r="O9" s="72"/>
    </row>
    <row r="10" spans="1:15" x14ac:dyDescent="0.25">
      <c r="A10" s="66" t="s">
        <v>6</v>
      </c>
      <c r="B10" s="70"/>
      <c r="C10" s="70"/>
      <c r="D10" s="67" t="s">
        <v>6</v>
      </c>
      <c r="E10" s="70"/>
      <c r="F10" s="70"/>
      <c r="G10" s="68" t="s">
        <v>6</v>
      </c>
      <c r="H10" s="71"/>
      <c r="I10" s="71"/>
      <c r="J10" s="68" t="s">
        <v>6</v>
      </c>
      <c r="K10" s="71"/>
      <c r="L10" s="71"/>
      <c r="M10" s="68" t="s">
        <v>6</v>
      </c>
      <c r="N10" s="71"/>
      <c r="O10" s="72"/>
    </row>
    <row r="11" spans="1:15" x14ac:dyDescent="0.25">
      <c r="A11" s="66" t="s">
        <v>7</v>
      </c>
      <c r="B11" s="73">
        <v>2892</v>
      </c>
      <c r="C11" s="73">
        <v>2657</v>
      </c>
      <c r="D11" s="67" t="s">
        <v>7</v>
      </c>
      <c r="E11" s="73">
        <v>2416</v>
      </c>
      <c r="F11" s="73">
        <v>2844</v>
      </c>
      <c r="G11" s="68" t="s">
        <v>7</v>
      </c>
      <c r="H11" s="74">
        <v>2088</v>
      </c>
      <c r="I11" s="74">
        <v>1972</v>
      </c>
      <c r="J11" s="68" t="s">
        <v>7</v>
      </c>
      <c r="K11" s="74">
        <v>2762</v>
      </c>
      <c r="L11" s="74">
        <v>1814</v>
      </c>
      <c r="M11" s="68" t="s">
        <v>7</v>
      </c>
      <c r="N11" s="74">
        <v>1565</v>
      </c>
      <c r="O11" s="75">
        <v>2882</v>
      </c>
    </row>
    <row r="12" spans="1:15" x14ac:dyDescent="0.25">
      <c r="A12" s="66" t="s">
        <v>8</v>
      </c>
      <c r="B12" s="76">
        <v>718</v>
      </c>
      <c r="C12" s="76">
        <v>958</v>
      </c>
      <c r="D12" s="67" t="s">
        <v>8</v>
      </c>
      <c r="E12" s="76">
        <v>958</v>
      </c>
      <c r="F12" s="76">
        <v>959</v>
      </c>
      <c r="G12" s="68" t="s">
        <v>8</v>
      </c>
      <c r="H12" s="45">
        <v>1217</v>
      </c>
      <c r="I12" s="45">
        <v>1465</v>
      </c>
      <c r="J12" s="68" t="s">
        <v>8</v>
      </c>
      <c r="K12" s="45">
        <v>487</v>
      </c>
      <c r="L12" s="45">
        <v>825</v>
      </c>
      <c r="M12" s="44"/>
      <c r="N12" s="44"/>
      <c r="O12" s="77"/>
    </row>
    <row r="13" spans="1:15" x14ac:dyDescent="0.25">
      <c r="A13" s="66" t="s">
        <v>9</v>
      </c>
      <c r="B13" s="70"/>
      <c r="C13" s="70"/>
      <c r="D13" s="67" t="s">
        <v>9</v>
      </c>
      <c r="E13" s="70"/>
      <c r="F13" s="70"/>
      <c r="G13" s="44"/>
      <c r="H13" s="44"/>
      <c r="I13" s="44"/>
      <c r="J13" s="44"/>
      <c r="K13" s="44"/>
      <c r="L13" s="44"/>
      <c r="M13" s="44"/>
      <c r="N13" s="44"/>
      <c r="O13" s="77"/>
    </row>
    <row r="14" spans="1:15" x14ac:dyDescent="0.25">
      <c r="A14" s="66" t="s">
        <v>10</v>
      </c>
      <c r="B14" s="76">
        <v>409</v>
      </c>
      <c r="C14" s="76">
        <v>305</v>
      </c>
      <c r="D14" s="67" t="s">
        <v>10</v>
      </c>
      <c r="E14" s="76">
        <v>375</v>
      </c>
      <c r="F14" s="76">
        <v>122</v>
      </c>
      <c r="G14" s="44"/>
      <c r="H14" s="44"/>
      <c r="I14" s="44"/>
      <c r="J14" s="44"/>
      <c r="K14" s="44"/>
      <c r="L14" s="44"/>
      <c r="M14" s="44"/>
      <c r="N14" s="44"/>
      <c r="O14" s="77"/>
    </row>
    <row r="15" spans="1:15" x14ac:dyDescent="0.25">
      <c r="A15" s="66" t="s">
        <v>11</v>
      </c>
      <c r="B15" s="70"/>
      <c r="C15" s="70"/>
      <c r="D15" s="67" t="s">
        <v>11</v>
      </c>
      <c r="E15" s="70"/>
      <c r="F15" s="70"/>
      <c r="G15" s="68" t="s">
        <v>11</v>
      </c>
      <c r="H15" s="71"/>
      <c r="I15" s="71"/>
      <c r="J15" s="68" t="s">
        <v>11</v>
      </c>
      <c r="K15" s="71"/>
      <c r="L15" s="71"/>
      <c r="M15" s="68" t="s">
        <v>95</v>
      </c>
      <c r="N15" s="71"/>
      <c r="O15" s="72"/>
    </row>
    <row r="16" spans="1:15" x14ac:dyDescent="0.25">
      <c r="A16" s="66" t="s">
        <v>12</v>
      </c>
      <c r="B16" s="70"/>
      <c r="C16" s="70"/>
      <c r="D16" s="67" t="s">
        <v>54</v>
      </c>
      <c r="E16" s="70"/>
      <c r="F16" s="70"/>
      <c r="G16" s="68" t="s">
        <v>69</v>
      </c>
      <c r="H16" s="71"/>
      <c r="I16" s="71"/>
      <c r="J16" s="68" t="s">
        <v>87</v>
      </c>
      <c r="K16" s="71"/>
      <c r="L16" s="71"/>
      <c r="M16" s="68" t="s">
        <v>116</v>
      </c>
      <c r="N16" s="44"/>
      <c r="O16" s="77"/>
    </row>
    <row r="17" spans="1:15" x14ac:dyDescent="0.25">
      <c r="A17" s="66" t="s">
        <v>13</v>
      </c>
      <c r="B17" s="76">
        <v>1456</v>
      </c>
      <c r="C17" s="76">
        <v>1563</v>
      </c>
      <c r="D17" s="67" t="s">
        <v>55</v>
      </c>
      <c r="E17" s="76">
        <v>1693</v>
      </c>
      <c r="F17" s="76">
        <v>1609</v>
      </c>
      <c r="G17" s="68" t="s">
        <v>70</v>
      </c>
      <c r="H17" s="45">
        <v>2297</v>
      </c>
      <c r="I17" s="45">
        <v>2020</v>
      </c>
      <c r="J17" s="68" t="s">
        <v>70</v>
      </c>
      <c r="K17" s="45">
        <v>2064</v>
      </c>
      <c r="L17" s="45">
        <v>2377</v>
      </c>
      <c r="M17" s="44" t="s">
        <v>70</v>
      </c>
      <c r="N17" s="45">
        <v>2314</v>
      </c>
      <c r="O17" s="78">
        <v>2854</v>
      </c>
    </row>
    <row r="18" spans="1:15" x14ac:dyDescent="0.25">
      <c r="A18" s="79"/>
      <c r="B18" s="44"/>
      <c r="C18" s="44"/>
      <c r="D18" s="67" t="s">
        <v>56</v>
      </c>
      <c r="E18" s="76">
        <v>619</v>
      </c>
      <c r="F18" s="76">
        <v>706</v>
      </c>
      <c r="G18" s="68" t="s">
        <v>56</v>
      </c>
      <c r="H18" s="45">
        <v>534</v>
      </c>
      <c r="I18" s="45">
        <v>379</v>
      </c>
      <c r="J18" s="68" t="s">
        <v>56</v>
      </c>
      <c r="K18" s="45">
        <v>519</v>
      </c>
      <c r="L18" s="45">
        <v>916</v>
      </c>
      <c r="M18" s="68" t="s">
        <v>56</v>
      </c>
      <c r="N18" s="45">
        <v>592</v>
      </c>
      <c r="O18" s="78">
        <v>730</v>
      </c>
    </row>
    <row r="19" spans="1:15" x14ac:dyDescent="0.25">
      <c r="A19" s="79"/>
      <c r="B19" s="44"/>
      <c r="C19" s="44"/>
      <c r="D19" s="44"/>
      <c r="E19" s="44"/>
      <c r="F19" s="44"/>
      <c r="G19" s="68" t="s">
        <v>71</v>
      </c>
      <c r="H19" s="45">
        <v>925</v>
      </c>
      <c r="I19" s="45">
        <v>119</v>
      </c>
      <c r="J19" s="44"/>
      <c r="K19" s="44"/>
      <c r="L19" s="44"/>
      <c r="M19" s="44"/>
      <c r="N19" s="44"/>
      <c r="O19" s="77"/>
    </row>
    <row r="20" spans="1:15" x14ac:dyDescent="0.25">
      <c r="A20" s="66" t="s">
        <v>14</v>
      </c>
      <c r="B20" s="70"/>
      <c r="C20" s="70"/>
      <c r="D20" s="67" t="s">
        <v>14</v>
      </c>
      <c r="E20" s="70"/>
      <c r="F20" s="70"/>
      <c r="G20" s="68" t="s">
        <v>14</v>
      </c>
      <c r="H20" s="71"/>
      <c r="I20" s="71"/>
      <c r="J20" s="68" t="s">
        <v>14</v>
      </c>
      <c r="K20" s="71"/>
      <c r="L20" s="71"/>
      <c r="M20" s="68" t="s">
        <v>96</v>
      </c>
      <c r="N20" s="71"/>
      <c r="O20" s="72"/>
    </row>
    <row r="21" spans="1:15" x14ac:dyDescent="0.25">
      <c r="A21" s="66" t="s">
        <v>15</v>
      </c>
      <c r="B21" s="70"/>
      <c r="C21" s="70"/>
      <c r="D21" s="67" t="s">
        <v>57</v>
      </c>
      <c r="E21" s="70"/>
      <c r="F21" s="70"/>
      <c r="G21" s="68" t="s">
        <v>72</v>
      </c>
      <c r="H21" s="71"/>
      <c r="I21" s="71"/>
      <c r="J21" s="68" t="s">
        <v>88</v>
      </c>
      <c r="K21" s="71"/>
      <c r="L21" s="71"/>
      <c r="M21" s="68" t="s">
        <v>97</v>
      </c>
      <c r="N21" s="71"/>
      <c r="O21" s="72"/>
    </row>
    <row r="22" spans="1:15" x14ac:dyDescent="0.25">
      <c r="A22" s="66" t="s">
        <v>13</v>
      </c>
      <c r="B22" s="76">
        <v>318</v>
      </c>
      <c r="C22" s="76">
        <v>367</v>
      </c>
      <c r="D22" s="67" t="s">
        <v>55</v>
      </c>
      <c r="E22" s="76">
        <v>404</v>
      </c>
      <c r="F22" s="76">
        <v>357</v>
      </c>
      <c r="G22" s="68" t="s">
        <v>73</v>
      </c>
      <c r="H22" s="45">
        <v>318</v>
      </c>
      <c r="I22" s="45">
        <v>318</v>
      </c>
      <c r="J22" s="68" t="s">
        <v>89</v>
      </c>
      <c r="K22" s="45">
        <v>372</v>
      </c>
      <c r="L22" s="45">
        <v>413</v>
      </c>
      <c r="M22" s="68" t="s">
        <v>70</v>
      </c>
      <c r="N22" s="45">
        <v>463</v>
      </c>
      <c r="O22" s="78">
        <v>521</v>
      </c>
    </row>
    <row r="23" spans="1:15" x14ac:dyDescent="0.25">
      <c r="A23" s="79"/>
      <c r="B23" s="44"/>
      <c r="C23" s="44"/>
      <c r="D23" s="44"/>
      <c r="E23" s="44"/>
      <c r="F23" s="44"/>
      <c r="G23" s="68" t="s">
        <v>74</v>
      </c>
      <c r="H23" s="45">
        <v>1078</v>
      </c>
      <c r="I23" s="45">
        <v>1987</v>
      </c>
      <c r="J23" s="44"/>
      <c r="K23" s="44"/>
      <c r="L23" s="44"/>
      <c r="M23" s="44"/>
      <c r="N23" s="44"/>
      <c r="O23" s="77"/>
    </row>
    <row r="24" spans="1:15" x14ac:dyDescent="0.25">
      <c r="A24" s="66" t="s">
        <v>16</v>
      </c>
      <c r="B24" s="76">
        <v>355</v>
      </c>
      <c r="C24" s="76">
        <v>461</v>
      </c>
      <c r="D24" s="67" t="s">
        <v>16</v>
      </c>
      <c r="E24" s="76">
        <v>463</v>
      </c>
      <c r="F24" s="76">
        <v>1736</v>
      </c>
      <c r="G24" s="44"/>
      <c r="H24" s="44"/>
      <c r="I24" s="44"/>
      <c r="J24" s="44"/>
      <c r="K24" s="44"/>
      <c r="L24" s="44"/>
      <c r="M24" s="44"/>
      <c r="N24" s="44"/>
      <c r="O24" s="77"/>
    </row>
    <row r="25" spans="1:15" x14ac:dyDescent="0.25">
      <c r="A25" s="66" t="s">
        <v>17</v>
      </c>
      <c r="B25" s="76">
        <v>1159</v>
      </c>
      <c r="C25" s="76">
        <v>1418</v>
      </c>
      <c r="D25" s="67" t="s">
        <v>17</v>
      </c>
      <c r="E25" s="76">
        <v>1344</v>
      </c>
      <c r="F25" s="76">
        <v>1318</v>
      </c>
      <c r="G25" s="68" t="s">
        <v>17</v>
      </c>
      <c r="H25" s="45">
        <v>701</v>
      </c>
      <c r="I25" s="45">
        <v>796</v>
      </c>
      <c r="J25" s="68" t="s">
        <v>17</v>
      </c>
      <c r="K25" s="45">
        <v>1247</v>
      </c>
      <c r="L25" s="45">
        <v>1499</v>
      </c>
      <c r="M25" s="68" t="s">
        <v>17</v>
      </c>
      <c r="N25" s="45">
        <v>1406</v>
      </c>
      <c r="O25" s="78">
        <v>1262</v>
      </c>
    </row>
    <row r="26" spans="1:15" x14ac:dyDescent="0.25">
      <c r="A26" s="66" t="s">
        <v>18</v>
      </c>
      <c r="B26" s="76">
        <v>7307</v>
      </c>
      <c r="C26" s="76">
        <v>7729</v>
      </c>
      <c r="D26" s="67" t="s">
        <v>18</v>
      </c>
      <c r="E26" s="76">
        <v>8272</v>
      </c>
      <c r="F26" s="76">
        <v>9651</v>
      </c>
      <c r="G26" s="68" t="s">
        <v>18</v>
      </c>
      <c r="H26" s="45">
        <v>9158</v>
      </c>
      <c r="I26" s="45">
        <v>9056</v>
      </c>
      <c r="J26" s="68" t="s">
        <v>18</v>
      </c>
      <c r="K26" s="45">
        <v>7451</v>
      </c>
      <c r="L26" s="45">
        <v>7844</v>
      </c>
      <c r="M26" s="68" t="s">
        <v>18</v>
      </c>
      <c r="N26" s="45">
        <v>6340</v>
      </c>
      <c r="O26" s="78">
        <v>8249</v>
      </c>
    </row>
    <row r="27" spans="1:15" x14ac:dyDescent="0.25">
      <c r="A27" s="79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68" t="s">
        <v>98</v>
      </c>
      <c r="N27" s="71"/>
      <c r="O27" s="72"/>
    </row>
    <row r="28" spans="1:15" x14ac:dyDescent="0.25">
      <c r="A28" s="66" t="s">
        <v>19</v>
      </c>
      <c r="B28" s="70"/>
      <c r="C28" s="70"/>
      <c r="D28" s="67" t="s">
        <v>19</v>
      </c>
      <c r="E28" s="70"/>
      <c r="F28" s="70"/>
      <c r="G28" s="68" t="s">
        <v>19</v>
      </c>
      <c r="H28" s="71"/>
      <c r="I28" s="71"/>
      <c r="J28" s="68" t="s">
        <v>19</v>
      </c>
      <c r="K28" s="71"/>
      <c r="L28" s="71"/>
      <c r="M28" s="44"/>
      <c r="N28" s="44"/>
      <c r="O28" s="77"/>
    </row>
    <row r="29" spans="1:15" x14ac:dyDescent="0.25">
      <c r="A29" s="66" t="s">
        <v>20</v>
      </c>
      <c r="B29" s="70"/>
      <c r="C29" s="70"/>
      <c r="D29" s="67" t="s">
        <v>20</v>
      </c>
      <c r="E29" s="70"/>
      <c r="F29" s="70"/>
      <c r="G29" s="68" t="s">
        <v>20</v>
      </c>
      <c r="H29" s="71"/>
      <c r="I29" s="71"/>
      <c r="J29" s="68" t="s">
        <v>20</v>
      </c>
      <c r="K29" s="71"/>
      <c r="L29" s="71"/>
      <c r="M29" s="68" t="s">
        <v>20</v>
      </c>
      <c r="N29" s="71"/>
      <c r="O29" s="72"/>
    </row>
    <row r="30" spans="1:15" x14ac:dyDescent="0.25">
      <c r="A30" s="66" t="s">
        <v>21</v>
      </c>
      <c r="B30" s="70"/>
      <c r="C30" s="70"/>
      <c r="D30" s="67" t="s">
        <v>58</v>
      </c>
      <c r="E30" s="70"/>
      <c r="F30" s="70"/>
      <c r="G30" s="68" t="s">
        <v>75</v>
      </c>
      <c r="H30" s="71"/>
      <c r="I30" s="71"/>
      <c r="J30" s="68" t="s">
        <v>90</v>
      </c>
      <c r="K30" s="71"/>
      <c r="L30" s="71"/>
      <c r="M30" s="68" t="s">
        <v>117</v>
      </c>
      <c r="N30" s="71"/>
      <c r="O30" s="72"/>
    </row>
    <row r="31" spans="1:15" x14ac:dyDescent="0.25">
      <c r="A31" s="66" t="s">
        <v>13</v>
      </c>
      <c r="B31" s="76">
        <v>20307</v>
      </c>
      <c r="C31" s="76">
        <v>20223</v>
      </c>
      <c r="D31" s="67" t="s">
        <v>55</v>
      </c>
      <c r="E31" s="76">
        <v>20713</v>
      </c>
      <c r="F31" s="76">
        <v>21854</v>
      </c>
      <c r="G31" s="68" t="s">
        <v>76</v>
      </c>
      <c r="H31" s="45">
        <v>21929</v>
      </c>
      <c r="I31" s="45">
        <v>23039</v>
      </c>
      <c r="J31" s="68" t="s">
        <v>91</v>
      </c>
      <c r="K31" s="45">
        <v>24375</v>
      </c>
      <c r="L31" s="45">
        <v>26563</v>
      </c>
      <c r="M31" s="80" t="s">
        <v>118</v>
      </c>
      <c r="N31" s="45">
        <v>28335</v>
      </c>
      <c r="O31" s="78">
        <v>31310</v>
      </c>
    </row>
    <row r="32" spans="1:15" x14ac:dyDescent="0.25">
      <c r="A32" s="79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68" t="s">
        <v>99</v>
      </c>
      <c r="N32" s="45">
        <v>5994</v>
      </c>
      <c r="O32" s="78">
        <v>5627</v>
      </c>
    </row>
    <row r="33" spans="1:15" x14ac:dyDescent="0.25">
      <c r="A33" s="66" t="s">
        <v>22</v>
      </c>
      <c r="B33" s="70"/>
      <c r="C33" s="70"/>
      <c r="D33" s="67" t="s">
        <v>22</v>
      </c>
      <c r="E33" s="70"/>
      <c r="F33" s="70"/>
      <c r="G33" s="68" t="s">
        <v>22</v>
      </c>
      <c r="H33" s="71"/>
      <c r="I33" s="71"/>
      <c r="J33" s="68" t="s">
        <v>22</v>
      </c>
      <c r="K33" s="71"/>
      <c r="L33" s="71"/>
      <c r="M33" s="44"/>
      <c r="N33" s="44"/>
      <c r="O33" s="77"/>
    </row>
    <row r="34" spans="1:15" x14ac:dyDescent="0.25">
      <c r="A34" s="66" t="s">
        <v>23</v>
      </c>
      <c r="B34" s="76">
        <v>9794</v>
      </c>
      <c r="C34" s="76">
        <v>9794</v>
      </c>
      <c r="D34" s="67" t="s">
        <v>23</v>
      </c>
      <c r="E34" s="76">
        <v>9794</v>
      </c>
      <c r="F34" s="76">
        <v>9794</v>
      </c>
      <c r="G34" s="68" t="s">
        <v>23</v>
      </c>
      <c r="H34" s="45">
        <v>9794</v>
      </c>
      <c r="I34" s="45">
        <v>9794</v>
      </c>
      <c r="J34" s="68" t="s">
        <v>23</v>
      </c>
      <c r="K34" s="45">
        <v>9794</v>
      </c>
      <c r="L34" s="45">
        <v>9794</v>
      </c>
      <c r="M34" s="68" t="s">
        <v>23</v>
      </c>
      <c r="N34" s="45">
        <v>9781</v>
      </c>
      <c r="O34" s="78">
        <v>9781</v>
      </c>
    </row>
    <row r="35" spans="1:15" x14ac:dyDescent="0.25">
      <c r="A35" s="66" t="s">
        <v>24</v>
      </c>
      <c r="B35" s="70"/>
      <c r="C35" s="70"/>
      <c r="D35" s="67" t="s">
        <v>24</v>
      </c>
      <c r="E35" s="70"/>
      <c r="F35" s="70"/>
      <c r="G35" s="68" t="s">
        <v>77</v>
      </c>
      <c r="H35" s="71"/>
      <c r="I35" s="71"/>
      <c r="J35" s="68" t="s">
        <v>77</v>
      </c>
      <c r="K35" s="71"/>
      <c r="L35" s="71"/>
      <c r="M35" s="68" t="s">
        <v>119</v>
      </c>
      <c r="N35" s="71"/>
      <c r="O35" s="72"/>
    </row>
    <row r="36" spans="1:15" x14ac:dyDescent="0.25">
      <c r="A36" s="66" t="s">
        <v>25</v>
      </c>
      <c r="B36" s="70"/>
      <c r="C36" s="70"/>
      <c r="D36" s="67" t="s">
        <v>59</v>
      </c>
      <c r="E36" s="70"/>
      <c r="F36" s="70"/>
      <c r="G36" s="68" t="s">
        <v>112</v>
      </c>
      <c r="H36" s="44"/>
      <c r="I36" s="44"/>
      <c r="J36" s="68" t="s">
        <v>115</v>
      </c>
      <c r="K36" s="45">
        <v>4844</v>
      </c>
      <c r="L36" s="45">
        <v>4847</v>
      </c>
      <c r="M36" s="68" t="s">
        <v>120</v>
      </c>
      <c r="N36" s="45">
        <v>4830</v>
      </c>
      <c r="O36" s="78">
        <v>5163</v>
      </c>
    </row>
    <row r="37" spans="1:15" x14ac:dyDescent="0.25">
      <c r="A37" s="66" t="s">
        <v>13</v>
      </c>
      <c r="B37" s="76">
        <v>4749</v>
      </c>
      <c r="C37" s="76">
        <v>4751</v>
      </c>
      <c r="D37" s="67" t="s">
        <v>55</v>
      </c>
      <c r="E37" s="76">
        <v>4679</v>
      </c>
      <c r="F37" s="76">
        <v>4658</v>
      </c>
      <c r="G37" s="80" t="s">
        <v>113</v>
      </c>
      <c r="H37" s="45">
        <v>4603</v>
      </c>
      <c r="I37" s="45">
        <v>4861</v>
      </c>
      <c r="J37" s="80" t="s">
        <v>114</v>
      </c>
      <c r="K37" s="44"/>
      <c r="L37" s="44"/>
      <c r="M37" s="80" t="s">
        <v>121</v>
      </c>
      <c r="N37" s="44"/>
      <c r="O37" s="77"/>
    </row>
    <row r="38" spans="1:15" x14ac:dyDescent="0.25">
      <c r="A38" s="79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68" t="s">
        <v>100</v>
      </c>
      <c r="N38" s="45">
        <v>1136</v>
      </c>
      <c r="O38" s="78">
        <v>636</v>
      </c>
    </row>
    <row r="39" spans="1:15" x14ac:dyDescent="0.25">
      <c r="A39" s="79"/>
      <c r="B39" s="44"/>
      <c r="C39" s="44"/>
      <c r="D39" s="67" t="s">
        <v>16</v>
      </c>
      <c r="E39" s="81">
        <v>0</v>
      </c>
      <c r="F39" s="76">
        <v>4992</v>
      </c>
      <c r="G39" s="68" t="s">
        <v>16</v>
      </c>
      <c r="H39" s="45">
        <v>7595</v>
      </c>
      <c r="I39" s="45">
        <v>4956</v>
      </c>
      <c r="J39" s="68" t="s">
        <v>16</v>
      </c>
      <c r="K39" s="45">
        <v>3064</v>
      </c>
      <c r="L39" s="45">
        <v>935</v>
      </c>
      <c r="M39" s="44"/>
      <c r="N39" s="44"/>
      <c r="O39" s="77"/>
    </row>
    <row r="40" spans="1:15" x14ac:dyDescent="0.25">
      <c r="A40" s="66" t="s">
        <v>26</v>
      </c>
      <c r="B40" s="76">
        <v>1031</v>
      </c>
      <c r="C40" s="76">
        <v>1002</v>
      </c>
      <c r="D40" s="67" t="s">
        <v>26</v>
      </c>
      <c r="E40" s="76">
        <v>1092</v>
      </c>
      <c r="F40" s="76">
        <v>1303</v>
      </c>
      <c r="G40" s="68" t="s">
        <v>26</v>
      </c>
      <c r="H40" s="45">
        <v>926</v>
      </c>
      <c r="I40" s="45">
        <v>1428</v>
      </c>
      <c r="J40" s="68" t="s">
        <v>26</v>
      </c>
      <c r="K40" s="45">
        <v>1733</v>
      </c>
      <c r="L40" s="45">
        <v>3309</v>
      </c>
      <c r="M40" s="68" t="s">
        <v>26</v>
      </c>
      <c r="N40" s="45">
        <v>3850</v>
      </c>
      <c r="O40" s="78">
        <v>3766</v>
      </c>
    </row>
    <row r="41" spans="1:15" x14ac:dyDescent="0.25">
      <c r="A41" s="66" t="s">
        <v>27</v>
      </c>
      <c r="B41" s="76">
        <v>15574</v>
      </c>
      <c r="C41" s="76">
        <v>15547</v>
      </c>
      <c r="D41" s="67" t="s">
        <v>27</v>
      </c>
      <c r="E41" s="76">
        <v>15565</v>
      </c>
      <c r="F41" s="76">
        <v>20747</v>
      </c>
      <c r="G41" s="68" t="s">
        <v>27</v>
      </c>
      <c r="H41" s="45">
        <v>22918</v>
      </c>
      <c r="I41" s="45">
        <v>21039</v>
      </c>
      <c r="J41" s="68" t="s">
        <v>27</v>
      </c>
      <c r="K41" s="45">
        <v>19435</v>
      </c>
      <c r="L41" s="45">
        <v>18885</v>
      </c>
      <c r="M41" s="68" t="s">
        <v>101</v>
      </c>
      <c r="N41" s="45">
        <v>53926</v>
      </c>
      <c r="O41" s="78">
        <v>56283</v>
      </c>
    </row>
    <row r="42" spans="1:15" x14ac:dyDescent="0.25">
      <c r="A42" s="66" t="s">
        <v>28</v>
      </c>
      <c r="B42" s="73">
        <v>43188</v>
      </c>
      <c r="C42" s="73">
        <v>43499</v>
      </c>
      <c r="D42" s="67" t="s">
        <v>28</v>
      </c>
      <c r="E42" s="73">
        <v>44550</v>
      </c>
      <c r="F42" s="73">
        <v>52252</v>
      </c>
      <c r="G42" s="68" t="s">
        <v>28</v>
      </c>
      <c r="H42" s="74">
        <v>54005</v>
      </c>
      <c r="I42" s="74">
        <v>53134</v>
      </c>
      <c r="J42" s="68" t="s">
        <v>28</v>
      </c>
      <c r="K42" s="74">
        <v>51261</v>
      </c>
      <c r="L42" s="74">
        <v>53292</v>
      </c>
      <c r="M42" s="68" t="s">
        <v>28</v>
      </c>
      <c r="N42" s="74">
        <v>60266</v>
      </c>
      <c r="O42" s="75">
        <v>64532</v>
      </c>
    </row>
    <row r="43" spans="1:15" x14ac:dyDescent="0.25">
      <c r="A43" s="66" t="s">
        <v>29</v>
      </c>
      <c r="B43" s="70"/>
      <c r="C43" s="70"/>
      <c r="D43" s="67" t="s">
        <v>60</v>
      </c>
      <c r="E43" s="70"/>
      <c r="F43" s="70"/>
      <c r="G43" s="68" t="s">
        <v>78</v>
      </c>
      <c r="H43" s="71"/>
      <c r="I43" s="71"/>
      <c r="J43" s="68" t="s">
        <v>78</v>
      </c>
      <c r="K43" s="71"/>
      <c r="L43" s="71"/>
      <c r="M43" s="68" t="s">
        <v>78</v>
      </c>
      <c r="N43" s="71"/>
      <c r="O43" s="72"/>
    </row>
    <row r="44" spans="1:15" x14ac:dyDescent="0.25">
      <c r="A44" s="66" t="s">
        <v>30</v>
      </c>
      <c r="B44" s="70"/>
      <c r="C44" s="70"/>
      <c r="D44" s="67" t="s">
        <v>30</v>
      </c>
      <c r="E44" s="70"/>
      <c r="F44" s="70"/>
      <c r="G44" s="68" t="s">
        <v>30</v>
      </c>
      <c r="H44" s="71"/>
      <c r="I44" s="71"/>
      <c r="J44" s="68" t="s">
        <v>30</v>
      </c>
      <c r="K44" s="71"/>
      <c r="L44" s="71"/>
      <c r="M44" s="68" t="s">
        <v>30</v>
      </c>
      <c r="N44" s="71"/>
      <c r="O44" s="72"/>
    </row>
    <row r="45" spans="1:15" x14ac:dyDescent="0.25">
      <c r="A45" s="66" t="s">
        <v>31</v>
      </c>
      <c r="B45" s="73">
        <v>2073</v>
      </c>
      <c r="C45" s="73">
        <v>1944</v>
      </c>
      <c r="D45" s="67" t="s">
        <v>31</v>
      </c>
      <c r="E45" s="73">
        <v>1627</v>
      </c>
      <c r="F45" s="73">
        <v>1547</v>
      </c>
      <c r="G45" s="68" t="s">
        <v>31</v>
      </c>
      <c r="H45" s="74">
        <v>1184</v>
      </c>
      <c r="I45" s="74">
        <v>1563</v>
      </c>
      <c r="J45" s="68" t="s">
        <v>31</v>
      </c>
      <c r="K45" s="74">
        <v>1131</v>
      </c>
      <c r="L45" s="74">
        <v>2242</v>
      </c>
      <c r="M45" s="68" t="s">
        <v>102</v>
      </c>
      <c r="N45" s="74">
        <v>1518</v>
      </c>
      <c r="O45" s="75">
        <v>2287</v>
      </c>
    </row>
    <row r="46" spans="1:15" x14ac:dyDescent="0.25">
      <c r="A46" s="79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68" t="s">
        <v>103</v>
      </c>
      <c r="N46" s="45">
        <v>955</v>
      </c>
      <c r="O46" s="78">
        <v>801</v>
      </c>
    </row>
    <row r="47" spans="1:15" x14ac:dyDescent="0.25">
      <c r="A47" s="66" t="s">
        <v>32</v>
      </c>
      <c r="B47" s="76">
        <v>3306</v>
      </c>
      <c r="C47" s="76">
        <v>3480</v>
      </c>
      <c r="D47" s="67" t="s">
        <v>32</v>
      </c>
      <c r="E47" s="76">
        <v>3696</v>
      </c>
      <c r="F47" s="76">
        <v>4122</v>
      </c>
      <c r="G47" s="68" t="s">
        <v>32</v>
      </c>
      <c r="H47" s="45">
        <v>4296</v>
      </c>
      <c r="I47" s="45">
        <v>4503</v>
      </c>
      <c r="J47" s="68" t="s">
        <v>32</v>
      </c>
      <c r="K47" s="45">
        <v>4626</v>
      </c>
      <c r="L47" s="45">
        <v>4888</v>
      </c>
      <c r="M47" s="68" t="s">
        <v>32</v>
      </c>
      <c r="N47" s="45">
        <v>4661</v>
      </c>
      <c r="O47" s="78">
        <v>5116</v>
      </c>
    </row>
    <row r="48" spans="1:15" x14ac:dyDescent="0.25">
      <c r="A48" s="66" t="s">
        <v>33</v>
      </c>
      <c r="B48" s="76">
        <v>1713</v>
      </c>
      <c r="C48" s="76">
        <v>1600</v>
      </c>
      <c r="D48" s="67" t="s">
        <v>33</v>
      </c>
      <c r="E48" s="76">
        <v>2293</v>
      </c>
      <c r="F48" s="76">
        <v>2300</v>
      </c>
      <c r="G48" s="68" t="s">
        <v>33</v>
      </c>
      <c r="H48" s="45">
        <v>2622</v>
      </c>
      <c r="I48" s="45">
        <v>2743</v>
      </c>
      <c r="J48" s="68" t="s">
        <v>33</v>
      </c>
      <c r="K48" s="45">
        <v>2572</v>
      </c>
      <c r="L48" s="45">
        <v>3674</v>
      </c>
      <c r="M48" s="68" t="s">
        <v>33</v>
      </c>
      <c r="N48" s="45">
        <v>2976</v>
      </c>
      <c r="O48" s="78">
        <v>3266</v>
      </c>
    </row>
    <row r="49" spans="1:15" x14ac:dyDescent="0.25">
      <c r="A49" s="66" t="s">
        <v>35</v>
      </c>
      <c r="B49" s="76">
        <v>1370</v>
      </c>
      <c r="C49" s="76">
        <v>1367</v>
      </c>
      <c r="D49" s="67" t="s">
        <v>35</v>
      </c>
      <c r="E49" s="76">
        <v>1680</v>
      </c>
      <c r="F49" s="76">
        <v>1926</v>
      </c>
      <c r="G49" s="68" t="s">
        <v>35</v>
      </c>
      <c r="H49" s="45">
        <v>2266</v>
      </c>
      <c r="I49" s="45">
        <v>3195</v>
      </c>
      <c r="J49" s="68" t="s">
        <v>35</v>
      </c>
      <c r="K49" s="45">
        <v>2924</v>
      </c>
      <c r="L49" s="45">
        <v>3022</v>
      </c>
      <c r="M49" s="68" t="s">
        <v>35</v>
      </c>
      <c r="N49" s="45">
        <v>3287</v>
      </c>
      <c r="O49" s="78">
        <v>3701</v>
      </c>
    </row>
    <row r="50" spans="1:15" x14ac:dyDescent="0.25">
      <c r="A50" s="79"/>
      <c r="B50" s="44"/>
      <c r="C50" s="44"/>
      <c r="D50" s="44"/>
      <c r="E50" s="44"/>
      <c r="F50" s="44"/>
      <c r="G50" s="68" t="s">
        <v>79</v>
      </c>
      <c r="H50" s="45">
        <v>2772</v>
      </c>
      <c r="I50" s="45">
        <v>2581</v>
      </c>
      <c r="J50" s="44"/>
      <c r="K50" s="44"/>
      <c r="L50" s="44"/>
      <c r="M50" s="44"/>
      <c r="N50" s="44"/>
      <c r="O50" s="77"/>
    </row>
    <row r="51" spans="1:15" x14ac:dyDescent="0.25">
      <c r="A51" s="66" t="s">
        <v>34</v>
      </c>
      <c r="B51" s="76">
        <v>1690</v>
      </c>
      <c r="C51" s="76">
        <v>1849</v>
      </c>
      <c r="D51" s="67" t="s">
        <v>34</v>
      </c>
      <c r="E51" s="76">
        <v>1806</v>
      </c>
      <c r="F51" s="76">
        <v>1861</v>
      </c>
      <c r="G51" s="68" t="s">
        <v>34</v>
      </c>
      <c r="H51" s="45">
        <v>1580</v>
      </c>
      <c r="I51" s="45">
        <v>1635</v>
      </c>
      <c r="J51" s="68" t="s">
        <v>34</v>
      </c>
      <c r="K51" s="45">
        <v>1648</v>
      </c>
      <c r="L51" s="45">
        <v>1822</v>
      </c>
      <c r="M51" s="68" t="s">
        <v>104</v>
      </c>
      <c r="N51" s="45">
        <v>2989</v>
      </c>
      <c r="O51" s="78">
        <v>3219</v>
      </c>
    </row>
    <row r="52" spans="1:15" x14ac:dyDescent="0.25">
      <c r="A52" s="66" t="s">
        <v>36</v>
      </c>
      <c r="B52" s="76">
        <v>579</v>
      </c>
      <c r="C52" s="76">
        <v>594</v>
      </c>
      <c r="D52" s="67" t="s">
        <v>36</v>
      </c>
      <c r="E52" s="76">
        <v>585</v>
      </c>
      <c r="F52" s="76">
        <v>673</v>
      </c>
      <c r="G52" s="44"/>
      <c r="H52" s="44"/>
      <c r="I52" s="44"/>
      <c r="J52" s="44"/>
      <c r="K52" s="44"/>
      <c r="L52" s="44"/>
      <c r="M52" s="44"/>
      <c r="N52" s="44"/>
      <c r="O52" s="77"/>
    </row>
    <row r="53" spans="1:15" x14ac:dyDescent="0.25">
      <c r="A53" s="79"/>
      <c r="B53" s="44"/>
      <c r="C53" s="44"/>
      <c r="D53" s="67" t="s">
        <v>61</v>
      </c>
      <c r="E53" s="76">
        <v>455</v>
      </c>
      <c r="F53" s="76">
        <v>602</v>
      </c>
      <c r="G53" s="44"/>
      <c r="H53" s="44"/>
      <c r="I53" s="44"/>
      <c r="J53" s="68" t="s">
        <v>61</v>
      </c>
      <c r="K53" s="45">
        <v>431</v>
      </c>
      <c r="L53" s="45">
        <v>1067</v>
      </c>
      <c r="M53" s="68" t="s">
        <v>61</v>
      </c>
      <c r="N53" s="45">
        <v>1075</v>
      </c>
      <c r="O53" s="78">
        <v>736</v>
      </c>
    </row>
    <row r="54" spans="1:15" x14ac:dyDescent="0.25">
      <c r="A54" s="66" t="s">
        <v>37</v>
      </c>
      <c r="B54" s="76">
        <v>654</v>
      </c>
      <c r="C54" s="76">
        <v>1867</v>
      </c>
      <c r="D54" s="67" t="s">
        <v>37</v>
      </c>
      <c r="E54" s="76">
        <v>1128</v>
      </c>
      <c r="F54" s="76">
        <v>1121</v>
      </c>
      <c r="G54" s="68" t="s">
        <v>37</v>
      </c>
      <c r="H54" s="45">
        <v>2127</v>
      </c>
      <c r="I54" s="45">
        <v>1306</v>
      </c>
      <c r="J54" s="68" t="s">
        <v>37</v>
      </c>
      <c r="K54" s="45">
        <v>1907</v>
      </c>
      <c r="L54" s="45">
        <v>1858</v>
      </c>
      <c r="M54" s="68" t="s">
        <v>37</v>
      </c>
      <c r="N54" s="45">
        <v>1117</v>
      </c>
      <c r="O54" s="78">
        <v>1078</v>
      </c>
    </row>
    <row r="55" spans="1:15" x14ac:dyDescent="0.25">
      <c r="A55" s="66" t="s">
        <v>38</v>
      </c>
      <c r="B55" s="76">
        <v>11385</v>
      </c>
      <c r="C55" s="76">
        <v>12701</v>
      </c>
      <c r="D55" s="67" t="s">
        <v>38</v>
      </c>
      <c r="E55" s="76">
        <v>13270</v>
      </c>
      <c r="F55" s="76">
        <v>14152</v>
      </c>
      <c r="G55" s="68" t="s">
        <v>38</v>
      </c>
      <c r="H55" s="45">
        <v>16847</v>
      </c>
      <c r="I55" s="45">
        <v>17526</v>
      </c>
      <c r="J55" s="68" t="s">
        <v>38</v>
      </c>
      <c r="K55" s="45">
        <v>15239</v>
      </c>
      <c r="L55" s="45">
        <v>18573</v>
      </c>
      <c r="M55" s="68" t="s">
        <v>38</v>
      </c>
      <c r="N55" s="45">
        <v>18578</v>
      </c>
      <c r="O55" s="78">
        <v>20204</v>
      </c>
    </row>
    <row r="56" spans="1:15" x14ac:dyDescent="0.25">
      <c r="A56" s="66" t="s">
        <v>39</v>
      </c>
      <c r="B56" s="70"/>
      <c r="C56" s="70"/>
      <c r="D56" s="67" t="s">
        <v>39</v>
      </c>
      <c r="E56" s="70"/>
      <c r="F56" s="70"/>
      <c r="G56" s="68" t="s">
        <v>39</v>
      </c>
      <c r="H56" s="71"/>
      <c r="I56" s="71"/>
      <c r="J56" s="68" t="s">
        <v>39</v>
      </c>
      <c r="K56" s="71"/>
      <c r="L56" s="71"/>
      <c r="M56" s="68" t="s">
        <v>39</v>
      </c>
      <c r="N56" s="71"/>
      <c r="O56" s="72"/>
    </row>
    <row r="57" spans="1:15" x14ac:dyDescent="0.25">
      <c r="A57" s="66" t="s">
        <v>40</v>
      </c>
      <c r="B57" s="76">
        <v>13179</v>
      </c>
      <c r="C57" s="76">
        <v>11847</v>
      </c>
      <c r="D57" s="67" t="s">
        <v>40</v>
      </c>
      <c r="E57" s="76">
        <v>11082</v>
      </c>
      <c r="F57" s="76">
        <v>9795</v>
      </c>
      <c r="G57" s="68" t="s">
        <v>40</v>
      </c>
      <c r="H57" s="45">
        <v>8477</v>
      </c>
      <c r="I57" s="45">
        <v>6766</v>
      </c>
      <c r="J57" s="68" t="s">
        <v>40</v>
      </c>
      <c r="K57" s="45">
        <v>6201</v>
      </c>
      <c r="L57" s="45">
        <v>6592</v>
      </c>
      <c r="M57" s="68" t="s">
        <v>105</v>
      </c>
      <c r="N57" s="45">
        <v>8253</v>
      </c>
      <c r="O57" s="78">
        <v>8873</v>
      </c>
    </row>
    <row r="58" spans="1:15" x14ac:dyDescent="0.25">
      <c r="A58" s="66" t="s">
        <v>41</v>
      </c>
      <c r="B58" s="76">
        <v>11493</v>
      </c>
      <c r="C58" s="76">
        <v>14200</v>
      </c>
      <c r="D58" s="67" t="s">
        <v>41</v>
      </c>
      <c r="E58" s="76">
        <v>16005</v>
      </c>
      <c r="F58" s="76">
        <v>12392</v>
      </c>
      <c r="G58" s="68" t="s">
        <v>41</v>
      </c>
      <c r="H58" s="45">
        <v>15138</v>
      </c>
      <c r="I58" s="45">
        <v>13855</v>
      </c>
      <c r="J58" s="68" t="s">
        <v>41</v>
      </c>
      <c r="K58" s="45">
        <v>13378</v>
      </c>
      <c r="L58" s="45">
        <v>9810</v>
      </c>
      <c r="M58" s="68" t="s">
        <v>41</v>
      </c>
      <c r="N58" s="45">
        <v>9163</v>
      </c>
      <c r="O58" s="78">
        <v>8452</v>
      </c>
    </row>
    <row r="59" spans="1:15" x14ac:dyDescent="0.25">
      <c r="A59" s="79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68" t="s">
        <v>104</v>
      </c>
      <c r="N59" s="45">
        <v>3652</v>
      </c>
      <c r="O59" s="78">
        <v>3509</v>
      </c>
    </row>
    <row r="60" spans="1:15" x14ac:dyDescent="0.25">
      <c r="A60" s="66" t="s">
        <v>34</v>
      </c>
      <c r="B60" s="76">
        <v>2777</v>
      </c>
      <c r="C60" s="76">
        <v>2700</v>
      </c>
      <c r="D60" s="67" t="s">
        <v>34</v>
      </c>
      <c r="E60" s="76">
        <v>2628</v>
      </c>
      <c r="F60" s="76">
        <v>2559</v>
      </c>
      <c r="G60" s="68" t="s">
        <v>34</v>
      </c>
      <c r="H60" s="45">
        <v>2602</v>
      </c>
      <c r="I60" s="45">
        <v>2246</v>
      </c>
      <c r="J60" s="68" t="s">
        <v>34</v>
      </c>
      <c r="K60" s="45">
        <v>2278</v>
      </c>
      <c r="L60" s="45">
        <v>2296</v>
      </c>
      <c r="M60" s="44"/>
      <c r="N60" s="44"/>
      <c r="O60" s="77"/>
    </row>
    <row r="61" spans="1:15" x14ac:dyDescent="0.25">
      <c r="A61" s="66" t="s">
        <v>16</v>
      </c>
      <c r="B61" s="76">
        <v>1924</v>
      </c>
      <c r="C61" s="76">
        <v>2028</v>
      </c>
      <c r="D61" s="67" t="s">
        <v>16</v>
      </c>
      <c r="E61" s="76">
        <v>2047</v>
      </c>
      <c r="F61" s="81">
        <v>0</v>
      </c>
      <c r="G61" s="44"/>
      <c r="H61" s="44"/>
      <c r="I61" s="44"/>
      <c r="J61" s="44"/>
      <c r="K61" s="44"/>
      <c r="L61" s="44"/>
      <c r="M61" s="68" t="s">
        <v>16</v>
      </c>
      <c r="N61" s="45">
        <v>163</v>
      </c>
      <c r="O61" s="78">
        <v>1456</v>
      </c>
    </row>
    <row r="62" spans="1:15" x14ac:dyDescent="0.25">
      <c r="A62" s="79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68" t="s">
        <v>106</v>
      </c>
      <c r="N62" s="45">
        <v>5801</v>
      </c>
      <c r="O62" s="78">
        <v>5294</v>
      </c>
    </row>
    <row r="63" spans="1:15" x14ac:dyDescent="0.25">
      <c r="A63" s="66" t="s">
        <v>42</v>
      </c>
      <c r="B63" s="76">
        <v>1533</v>
      </c>
      <c r="C63" s="76">
        <v>1419</v>
      </c>
      <c r="D63" s="67" t="s">
        <v>42</v>
      </c>
      <c r="E63" s="76">
        <v>1649</v>
      </c>
      <c r="F63" s="76">
        <v>1711</v>
      </c>
      <c r="G63" s="68" t="s">
        <v>42</v>
      </c>
      <c r="H63" s="45">
        <v>2128</v>
      </c>
      <c r="I63" s="45">
        <v>1891</v>
      </c>
      <c r="J63" s="68" t="s">
        <v>42</v>
      </c>
      <c r="K63" s="45">
        <v>1878</v>
      </c>
      <c r="L63" s="45">
        <v>2111</v>
      </c>
      <c r="M63" s="68" t="s">
        <v>42</v>
      </c>
      <c r="N63" s="45">
        <v>969</v>
      </c>
      <c r="O63" s="78">
        <v>1386</v>
      </c>
    </row>
    <row r="64" spans="1:15" x14ac:dyDescent="0.25">
      <c r="A64" s="66" t="s">
        <v>43</v>
      </c>
      <c r="B64" s="76">
        <v>30906</v>
      </c>
      <c r="C64" s="76">
        <v>32194</v>
      </c>
      <c r="D64" s="67" t="s">
        <v>43</v>
      </c>
      <c r="E64" s="76">
        <v>33411</v>
      </c>
      <c r="F64" s="76">
        <v>26457</v>
      </c>
      <c r="G64" s="68" t="s">
        <v>43</v>
      </c>
      <c r="H64" s="45">
        <v>28345</v>
      </c>
      <c r="I64" s="45">
        <v>24758</v>
      </c>
      <c r="J64" s="68" t="s">
        <v>43</v>
      </c>
      <c r="K64" s="45">
        <v>23735</v>
      </c>
      <c r="L64" s="45">
        <v>20809</v>
      </c>
      <c r="M64" s="68" t="s">
        <v>43</v>
      </c>
      <c r="N64" s="45">
        <v>28001</v>
      </c>
      <c r="O64" s="78">
        <v>28970</v>
      </c>
    </row>
    <row r="65" spans="1:15" x14ac:dyDescent="0.25">
      <c r="A65" s="66" t="s">
        <v>44</v>
      </c>
      <c r="B65" s="70"/>
      <c r="C65" s="70"/>
      <c r="D65" s="67" t="s">
        <v>44</v>
      </c>
      <c r="E65" s="70"/>
      <c r="F65" s="70"/>
      <c r="G65" s="68" t="s">
        <v>44</v>
      </c>
      <c r="H65" s="71"/>
      <c r="I65" s="71"/>
      <c r="J65" s="68" t="s">
        <v>44</v>
      </c>
      <c r="K65" s="71"/>
      <c r="L65" s="71"/>
      <c r="M65" s="68" t="s">
        <v>44</v>
      </c>
      <c r="N65" s="71"/>
      <c r="O65" s="72"/>
    </row>
    <row r="66" spans="1:15" x14ac:dyDescent="0.25">
      <c r="A66" s="66" t="s">
        <v>45</v>
      </c>
      <c r="B66" s="70"/>
      <c r="C66" s="70"/>
      <c r="D66" s="67" t="s">
        <v>62</v>
      </c>
      <c r="E66" s="70"/>
      <c r="F66" s="70"/>
      <c r="G66" s="68" t="s">
        <v>80</v>
      </c>
      <c r="H66" s="71"/>
      <c r="I66" s="71"/>
      <c r="J66" s="68" t="s">
        <v>80</v>
      </c>
      <c r="K66" s="71"/>
      <c r="L66" s="71"/>
      <c r="M66" s="68" t="s">
        <v>80</v>
      </c>
      <c r="N66" s="71"/>
      <c r="O66" s="72"/>
    </row>
    <row r="67" spans="1:15" x14ac:dyDescent="0.25">
      <c r="A67" s="66" t="s">
        <v>46</v>
      </c>
      <c r="B67" s="70"/>
      <c r="C67" s="70"/>
      <c r="D67" s="67" t="s">
        <v>46</v>
      </c>
      <c r="E67" s="70"/>
      <c r="F67" s="70"/>
      <c r="G67" s="68" t="s">
        <v>46</v>
      </c>
      <c r="H67" s="71"/>
      <c r="I67" s="71"/>
      <c r="J67" s="68" t="s">
        <v>46</v>
      </c>
      <c r="K67" s="71"/>
      <c r="L67" s="71"/>
      <c r="M67" s="68" t="s">
        <v>107</v>
      </c>
      <c r="N67" s="71"/>
      <c r="O67" s="72"/>
    </row>
    <row r="68" spans="1:15" x14ac:dyDescent="0.25">
      <c r="A68" s="66" t="s">
        <v>47</v>
      </c>
      <c r="B68" s="70"/>
      <c r="C68" s="70"/>
      <c r="D68" s="67" t="s">
        <v>63</v>
      </c>
      <c r="E68" s="70"/>
      <c r="F68" s="70"/>
      <c r="G68" s="68" t="s">
        <v>81</v>
      </c>
      <c r="H68" s="71"/>
      <c r="I68" s="71"/>
      <c r="J68" s="68" t="s">
        <v>92</v>
      </c>
      <c r="K68" s="71"/>
      <c r="L68" s="71"/>
      <c r="M68" s="68" t="s">
        <v>108</v>
      </c>
      <c r="N68" s="71"/>
      <c r="O68" s="72"/>
    </row>
    <row r="69" spans="1:15" x14ac:dyDescent="0.25">
      <c r="A69" s="66" t="s">
        <v>48</v>
      </c>
      <c r="B69" s="81">
        <v>0</v>
      </c>
      <c r="C69" s="81">
        <v>0</v>
      </c>
      <c r="D69" s="67" t="s">
        <v>64</v>
      </c>
      <c r="E69" s="81">
        <v>0</v>
      </c>
      <c r="F69" s="81">
        <v>0</v>
      </c>
      <c r="G69" s="68" t="s">
        <v>82</v>
      </c>
      <c r="H69" s="82">
        <v>0</v>
      </c>
      <c r="I69" s="82">
        <v>0</v>
      </c>
      <c r="J69" s="68" t="s">
        <v>93</v>
      </c>
      <c r="K69" s="82">
        <v>0</v>
      </c>
      <c r="L69" s="82">
        <v>0</v>
      </c>
      <c r="M69" s="68" t="s">
        <v>109</v>
      </c>
      <c r="N69" s="82">
        <v>0</v>
      </c>
      <c r="O69" s="83">
        <v>0</v>
      </c>
    </row>
    <row r="70" spans="1:15" x14ac:dyDescent="0.25">
      <c r="A70" s="66" t="s">
        <v>49</v>
      </c>
      <c r="B70" s="76">
        <v>13926</v>
      </c>
      <c r="C70" s="76">
        <v>13999</v>
      </c>
      <c r="D70" s="67" t="s">
        <v>49</v>
      </c>
      <c r="E70" s="76">
        <v>14069</v>
      </c>
      <c r="F70" s="76">
        <v>13982</v>
      </c>
      <c r="G70" s="68" t="s">
        <v>49</v>
      </c>
      <c r="H70" s="45">
        <v>12981</v>
      </c>
      <c r="I70" s="45">
        <v>10875</v>
      </c>
      <c r="J70" s="68" t="s">
        <v>49</v>
      </c>
      <c r="K70" s="45">
        <v>12294</v>
      </c>
      <c r="L70" s="45">
        <v>12053</v>
      </c>
      <c r="M70" s="68" t="s">
        <v>49</v>
      </c>
      <c r="N70" s="45">
        <v>11671</v>
      </c>
      <c r="O70" s="78">
        <v>11129</v>
      </c>
    </row>
    <row r="71" spans="1:15" x14ac:dyDescent="0.25">
      <c r="A71" s="66" t="s">
        <v>65</v>
      </c>
      <c r="B71" s="76">
        <v>-9252</v>
      </c>
      <c r="C71" s="76">
        <v>-8398</v>
      </c>
      <c r="D71" s="67" t="s">
        <v>65</v>
      </c>
      <c r="E71" s="76">
        <v>-7389</v>
      </c>
      <c r="F71" s="76">
        <v>3049</v>
      </c>
      <c r="G71" s="68" t="s">
        <v>83</v>
      </c>
      <c r="H71" s="45">
        <v>3456</v>
      </c>
      <c r="I71" s="45">
        <v>7623</v>
      </c>
      <c r="J71" s="68" t="s">
        <v>83</v>
      </c>
      <c r="K71" s="45">
        <v>7903</v>
      </c>
      <c r="L71" s="45">
        <v>9636</v>
      </c>
      <c r="M71" s="68" t="s">
        <v>83</v>
      </c>
      <c r="N71" s="45">
        <v>10039</v>
      </c>
      <c r="O71" s="78">
        <v>12454</v>
      </c>
    </row>
    <row r="72" spans="1:15" x14ac:dyDescent="0.25">
      <c r="A72" s="66" t="s">
        <v>50</v>
      </c>
      <c r="B72" s="76">
        <v>-3578</v>
      </c>
      <c r="C72" s="76">
        <v>-6766</v>
      </c>
      <c r="D72" s="67" t="s">
        <v>50</v>
      </c>
      <c r="E72" s="76">
        <v>-8577</v>
      </c>
      <c r="F72" s="76">
        <v>-5130</v>
      </c>
      <c r="G72" s="68" t="s">
        <v>50</v>
      </c>
      <c r="H72" s="45">
        <v>-7311</v>
      </c>
      <c r="I72" s="45">
        <v>-7275</v>
      </c>
      <c r="J72" s="68" t="s">
        <v>50</v>
      </c>
      <c r="K72" s="45">
        <v>-7636</v>
      </c>
      <c r="L72" s="45">
        <v>-7621</v>
      </c>
      <c r="M72" s="68" t="s">
        <v>50</v>
      </c>
      <c r="N72" s="45">
        <v>-7825</v>
      </c>
      <c r="O72" s="78">
        <v>-7989</v>
      </c>
    </row>
    <row r="73" spans="1:15" x14ac:dyDescent="0.25">
      <c r="A73" s="66" t="s">
        <v>51</v>
      </c>
      <c r="B73" s="70"/>
      <c r="C73" s="70"/>
      <c r="D73" s="67" t="s">
        <v>66</v>
      </c>
      <c r="E73" s="70"/>
      <c r="F73" s="70"/>
      <c r="G73" s="68" t="s">
        <v>84</v>
      </c>
      <c r="H73" s="71"/>
      <c r="I73" s="71"/>
      <c r="J73" s="68" t="s">
        <v>94</v>
      </c>
      <c r="K73" s="71"/>
      <c r="L73" s="71"/>
      <c r="M73" s="68" t="s">
        <v>110</v>
      </c>
      <c r="N73" s="71"/>
      <c r="O73" s="72"/>
    </row>
    <row r="74" spans="1:15" x14ac:dyDescent="0.25">
      <c r="A74" s="66" t="s">
        <v>13</v>
      </c>
      <c r="B74" s="76">
        <v>-199</v>
      </c>
      <c r="C74" s="76">
        <v>-231</v>
      </c>
      <c r="D74" s="44"/>
      <c r="E74" s="44"/>
      <c r="F74" s="44"/>
      <c r="G74" s="68" t="s">
        <v>82</v>
      </c>
      <c r="H74" s="45">
        <v>-313</v>
      </c>
      <c r="I74" s="45">
        <v>-373</v>
      </c>
      <c r="J74" s="68" t="s">
        <v>93</v>
      </c>
      <c r="K74" s="45">
        <v>-274</v>
      </c>
      <c r="L74" s="45">
        <v>-158</v>
      </c>
      <c r="M74" s="68" t="s">
        <v>111</v>
      </c>
      <c r="N74" s="45">
        <v>-198</v>
      </c>
      <c r="O74" s="78">
        <v>-236</v>
      </c>
    </row>
    <row r="75" spans="1:15" x14ac:dyDescent="0.25">
      <c r="A75" s="66" t="s">
        <v>52</v>
      </c>
      <c r="B75" s="76">
        <v>897</v>
      </c>
      <c r="C75" s="76">
        <v>-1396</v>
      </c>
      <c r="D75" s="67" t="s">
        <v>67</v>
      </c>
      <c r="E75" s="76">
        <v>-2131</v>
      </c>
      <c r="F75" s="76">
        <v>11643</v>
      </c>
      <c r="G75" s="68" t="s">
        <v>85</v>
      </c>
      <c r="H75" s="45">
        <v>8813</v>
      </c>
      <c r="I75" s="45">
        <v>10850</v>
      </c>
      <c r="J75" s="68" t="s">
        <v>85</v>
      </c>
      <c r="K75" s="45">
        <v>12287</v>
      </c>
      <c r="L75" s="45">
        <v>13910</v>
      </c>
      <c r="M75" s="68" t="s">
        <v>85</v>
      </c>
      <c r="N75" s="45">
        <v>13687</v>
      </c>
      <c r="O75" s="78">
        <v>15358</v>
      </c>
    </row>
    <row r="76" spans="1:15" ht="15.75" thickBot="1" x14ac:dyDescent="0.3">
      <c r="A76" s="84" t="s">
        <v>53</v>
      </c>
      <c r="B76" s="85">
        <v>43188</v>
      </c>
      <c r="C76" s="85">
        <v>43499</v>
      </c>
      <c r="D76" s="86" t="s">
        <v>68</v>
      </c>
      <c r="E76" s="85">
        <v>44550</v>
      </c>
      <c r="F76" s="85">
        <v>52252</v>
      </c>
      <c r="G76" s="87" t="s">
        <v>86</v>
      </c>
      <c r="H76" s="88">
        <v>54005</v>
      </c>
      <c r="I76" s="88">
        <v>53134</v>
      </c>
      <c r="J76" s="87" t="s">
        <v>86</v>
      </c>
      <c r="K76" s="88">
        <v>51261</v>
      </c>
      <c r="L76" s="88">
        <v>53292</v>
      </c>
      <c r="M76" s="87" t="s">
        <v>86</v>
      </c>
      <c r="N76" s="88">
        <v>60266</v>
      </c>
      <c r="O76" s="89">
        <v>64532</v>
      </c>
    </row>
    <row r="78" spans="1:15" ht="15.75" thickBot="1" x14ac:dyDescent="0.3"/>
    <row r="79" spans="1:15" x14ac:dyDescent="0.25">
      <c r="A79" s="92" t="s">
        <v>187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4"/>
    </row>
    <row r="80" spans="1:15" x14ac:dyDescent="0.25">
      <c r="A80" s="66" t="s">
        <v>4</v>
      </c>
      <c r="B80" s="67">
        <v>2010</v>
      </c>
      <c r="C80" s="67">
        <v>2011</v>
      </c>
      <c r="D80" s="67" t="s">
        <v>4</v>
      </c>
      <c r="E80" s="67">
        <v>2012</v>
      </c>
      <c r="F80" s="67">
        <v>2013</v>
      </c>
      <c r="G80" s="68" t="s">
        <v>4</v>
      </c>
      <c r="H80" s="68">
        <v>2014</v>
      </c>
      <c r="I80" s="68">
        <v>2015</v>
      </c>
      <c r="J80" s="68" t="s">
        <v>4</v>
      </c>
      <c r="K80" s="68">
        <v>2016</v>
      </c>
      <c r="L80" s="68">
        <v>2017</v>
      </c>
      <c r="M80" s="68" t="s">
        <v>4</v>
      </c>
      <c r="N80" s="68">
        <v>2018</v>
      </c>
      <c r="O80" s="69">
        <v>2019</v>
      </c>
    </row>
    <row r="81" spans="1:15" x14ac:dyDescent="0.25">
      <c r="A81" s="66" t="s">
        <v>5</v>
      </c>
      <c r="B81" s="70"/>
      <c r="C81" s="70"/>
      <c r="D81" s="67" t="s">
        <v>5</v>
      </c>
      <c r="E81" s="70"/>
      <c r="F81" s="70"/>
      <c r="G81" s="68" t="s">
        <v>5</v>
      </c>
      <c r="H81" s="71"/>
      <c r="I81" s="71"/>
      <c r="J81" s="68" t="s">
        <v>5</v>
      </c>
      <c r="K81" s="71"/>
      <c r="L81" s="71"/>
      <c r="M81" s="68" t="s">
        <v>5</v>
      </c>
      <c r="N81" s="71"/>
      <c r="O81" s="72"/>
    </row>
    <row r="82" spans="1:15" x14ac:dyDescent="0.25">
      <c r="A82" s="66" t="s">
        <v>6</v>
      </c>
      <c r="B82" s="70"/>
      <c r="C82" s="70"/>
      <c r="D82" s="67" t="s">
        <v>6</v>
      </c>
      <c r="E82" s="70"/>
      <c r="F82" s="70"/>
      <c r="G82" s="68" t="s">
        <v>6</v>
      </c>
      <c r="H82" s="71"/>
      <c r="I82" s="71"/>
      <c r="J82" s="68" t="s">
        <v>6</v>
      </c>
      <c r="K82" s="71"/>
      <c r="L82" s="71"/>
      <c r="M82" s="68" t="s">
        <v>6</v>
      </c>
      <c r="N82" s="71"/>
      <c r="O82" s="72"/>
    </row>
    <row r="83" spans="1:15" x14ac:dyDescent="0.25">
      <c r="A83" s="66" t="s">
        <v>7</v>
      </c>
      <c r="B83" s="73">
        <v>2892</v>
      </c>
      <c r="C83" s="73">
        <v>2657</v>
      </c>
      <c r="D83" s="67" t="s">
        <v>7</v>
      </c>
      <c r="E83" s="73">
        <v>2416</v>
      </c>
      <c r="F83" s="73">
        <v>2844</v>
      </c>
      <c r="G83" s="68" t="s">
        <v>7</v>
      </c>
      <c r="H83" s="74">
        <v>2088</v>
      </c>
      <c r="I83" s="74">
        <v>1972</v>
      </c>
      <c r="J83" s="68" t="s">
        <v>7</v>
      </c>
      <c r="K83" s="74">
        <v>2762</v>
      </c>
      <c r="L83" s="74">
        <v>1814</v>
      </c>
      <c r="M83" s="68" t="s">
        <v>7</v>
      </c>
      <c r="N83" s="74">
        <v>1565</v>
      </c>
      <c r="O83" s="75">
        <v>2882</v>
      </c>
    </row>
    <row r="84" spans="1:15" x14ac:dyDescent="0.25">
      <c r="A84" s="66" t="s">
        <v>8</v>
      </c>
      <c r="B84" s="76">
        <v>718</v>
      </c>
      <c r="C84" s="76">
        <v>958</v>
      </c>
      <c r="D84" s="67" t="s">
        <v>8</v>
      </c>
      <c r="E84" s="76">
        <v>958</v>
      </c>
      <c r="F84" s="76">
        <v>959</v>
      </c>
      <c r="G84" s="68" t="s">
        <v>8</v>
      </c>
      <c r="H84" s="45">
        <v>1217</v>
      </c>
      <c r="I84" s="45">
        <v>1465</v>
      </c>
      <c r="J84" s="68" t="s">
        <v>8</v>
      </c>
      <c r="K84" s="45">
        <v>487</v>
      </c>
      <c r="L84" s="45">
        <v>825</v>
      </c>
      <c r="M84" s="44"/>
      <c r="N84" s="44"/>
      <c r="O84" s="77"/>
    </row>
    <row r="85" spans="1:15" x14ac:dyDescent="0.25">
      <c r="A85" s="66" t="s">
        <v>9</v>
      </c>
      <c r="B85" s="70"/>
      <c r="C85" s="70"/>
      <c r="D85" s="67" t="s">
        <v>9</v>
      </c>
      <c r="E85" s="70"/>
      <c r="F85" s="70"/>
      <c r="G85" s="44"/>
      <c r="H85" s="44"/>
      <c r="I85" s="44"/>
      <c r="J85" s="44"/>
      <c r="K85" s="44"/>
      <c r="L85" s="44"/>
      <c r="M85" s="44"/>
      <c r="N85" s="44"/>
      <c r="O85" s="77"/>
    </row>
    <row r="86" spans="1:15" x14ac:dyDescent="0.25">
      <c r="A86" s="66" t="s">
        <v>10</v>
      </c>
      <c r="B86" s="76">
        <v>409</v>
      </c>
      <c r="C86" s="76">
        <v>305</v>
      </c>
      <c r="D86" s="67" t="s">
        <v>10</v>
      </c>
      <c r="E86" s="76">
        <v>375</v>
      </c>
      <c r="F86" s="76">
        <v>122</v>
      </c>
      <c r="G86" s="44"/>
      <c r="H86" s="44"/>
      <c r="I86" s="44"/>
      <c r="J86" s="44"/>
      <c r="K86" s="44"/>
      <c r="L86" s="44"/>
      <c r="M86" s="44"/>
      <c r="N86" s="44"/>
      <c r="O86" s="77"/>
    </row>
    <row r="87" spans="1:15" x14ac:dyDescent="0.25">
      <c r="A87" s="66" t="s">
        <v>11</v>
      </c>
      <c r="B87" s="70"/>
      <c r="C87" s="70"/>
      <c r="D87" s="67" t="s">
        <v>11</v>
      </c>
      <c r="E87" s="70"/>
      <c r="F87" s="70"/>
      <c r="G87" s="68" t="s">
        <v>11</v>
      </c>
      <c r="H87" s="71"/>
      <c r="I87" s="71"/>
      <c r="J87" s="68" t="s">
        <v>11</v>
      </c>
      <c r="K87" s="71"/>
      <c r="L87" s="71"/>
      <c r="M87" s="68" t="s">
        <v>95</v>
      </c>
      <c r="N87" s="71"/>
      <c r="O87" s="72"/>
    </row>
    <row r="88" spans="1:15" x14ac:dyDescent="0.25">
      <c r="A88" s="66" t="s">
        <v>12</v>
      </c>
      <c r="B88" s="70"/>
      <c r="C88" s="70"/>
      <c r="D88" s="67" t="s">
        <v>54</v>
      </c>
      <c r="E88" s="70"/>
      <c r="F88" s="70"/>
      <c r="G88" s="68" t="s">
        <v>69</v>
      </c>
      <c r="H88" s="71"/>
      <c r="I88" s="71"/>
      <c r="J88" s="68" t="s">
        <v>87</v>
      </c>
      <c r="K88" s="71"/>
      <c r="L88" s="71"/>
      <c r="M88" s="68" t="s">
        <v>116</v>
      </c>
      <c r="N88" s="44"/>
      <c r="O88" s="77"/>
    </row>
    <row r="89" spans="1:15" x14ac:dyDescent="0.25">
      <c r="A89" s="66" t="s">
        <v>13</v>
      </c>
      <c r="B89" s="76">
        <v>1456</v>
      </c>
      <c r="C89" s="76">
        <v>1563</v>
      </c>
      <c r="D89" s="67" t="s">
        <v>55</v>
      </c>
      <c r="E89" s="76">
        <v>1693</v>
      </c>
      <c r="F89" s="76">
        <v>1609</v>
      </c>
      <c r="G89" s="68" t="s">
        <v>70</v>
      </c>
      <c r="H89" s="45">
        <v>2297</v>
      </c>
      <c r="I89" s="45">
        <v>2020</v>
      </c>
      <c r="J89" s="68" t="s">
        <v>70</v>
      </c>
      <c r="K89" s="45">
        <v>2064</v>
      </c>
      <c r="L89" s="45">
        <v>2377</v>
      </c>
      <c r="M89" s="44" t="s">
        <v>70</v>
      </c>
      <c r="N89" s="45">
        <v>2314</v>
      </c>
      <c r="O89" s="78">
        <v>2854</v>
      </c>
    </row>
    <row r="90" spans="1:15" x14ac:dyDescent="0.25">
      <c r="A90" s="79"/>
      <c r="B90" s="44"/>
      <c r="C90" s="44"/>
      <c r="D90" s="44" t="s">
        <v>56</v>
      </c>
      <c r="E90" s="76">
        <v>619</v>
      </c>
      <c r="F90" s="76">
        <v>706</v>
      </c>
      <c r="G90" s="68" t="s">
        <v>56</v>
      </c>
      <c r="H90" s="45">
        <v>534</v>
      </c>
      <c r="I90" s="45">
        <v>379</v>
      </c>
      <c r="J90" s="68" t="s">
        <v>56</v>
      </c>
      <c r="K90" s="45">
        <v>519</v>
      </c>
      <c r="L90" s="45">
        <v>916</v>
      </c>
      <c r="M90" s="68" t="s">
        <v>56</v>
      </c>
      <c r="N90" s="45">
        <v>592</v>
      </c>
      <c r="O90" s="78">
        <v>730</v>
      </c>
    </row>
    <row r="91" spans="1:15" x14ac:dyDescent="0.25">
      <c r="A91" s="79"/>
      <c r="B91" s="44"/>
      <c r="C91" s="44"/>
      <c r="D91" s="44" t="s">
        <v>71</v>
      </c>
      <c r="E91" s="44"/>
      <c r="F91" s="44"/>
      <c r="G91" s="68" t="s">
        <v>71</v>
      </c>
      <c r="H91" s="45">
        <v>925</v>
      </c>
      <c r="I91" s="45">
        <v>119</v>
      </c>
      <c r="J91" s="44"/>
      <c r="K91" s="44"/>
      <c r="L91" s="44"/>
      <c r="M91" s="44"/>
      <c r="N91" s="44"/>
      <c r="O91" s="77"/>
    </row>
    <row r="92" spans="1:15" x14ac:dyDescent="0.25">
      <c r="A92" s="66" t="s">
        <v>14</v>
      </c>
      <c r="B92" s="70"/>
      <c r="C92" s="70"/>
      <c r="D92" s="67" t="s">
        <v>14</v>
      </c>
      <c r="E92" s="70"/>
      <c r="F92" s="70"/>
      <c r="G92" s="68" t="s">
        <v>14</v>
      </c>
      <c r="H92" s="71"/>
      <c r="I92" s="71"/>
      <c r="J92" s="68" t="s">
        <v>14</v>
      </c>
      <c r="K92" s="71"/>
      <c r="L92" s="71"/>
      <c r="M92" s="68" t="s">
        <v>96</v>
      </c>
      <c r="N92" s="71"/>
      <c r="O92" s="72"/>
    </row>
    <row r="93" spans="1:15" x14ac:dyDescent="0.25">
      <c r="A93" s="66" t="s">
        <v>15</v>
      </c>
      <c r="B93" s="70"/>
      <c r="C93" s="70"/>
      <c r="D93" s="67" t="s">
        <v>57</v>
      </c>
      <c r="E93" s="70"/>
      <c r="F93" s="70"/>
      <c r="G93" s="68" t="s">
        <v>72</v>
      </c>
      <c r="H93" s="71"/>
      <c r="I93" s="71"/>
      <c r="J93" s="68" t="s">
        <v>88</v>
      </c>
      <c r="K93" s="71"/>
      <c r="L93" s="71"/>
      <c r="M93" s="90" t="s">
        <v>97</v>
      </c>
      <c r="N93" s="71"/>
      <c r="O93" s="72"/>
    </row>
    <row r="94" spans="1:15" x14ac:dyDescent="0.25">
      <c r="A94" s="66" t="s">
        <v>13</v>
      </c>
      <c r="B94" s="76">
        <v>318</v>
      </c>
      <c r="C94" s="76">
        <v>367</v>
      </c>
      <c r="D94" s="67" t="s">
        <v>55</v>
      </c>
      <c r="E94" s="76">
        <v>404</v>
      </c>
      <c r="F94" s="76">
        <v>357</v>
      </c>
      <c r="G94" s="68" t="s">
        <v>73</v>
      </c>
      <c r="H94" s="45">
        <v>318</v>
      </c>
      <c r="I94" s="45">
        <v>318</v>
      </c>
      <c r="J94" s="68" t="s">
        <v>89</v>
      </c>
      <c r="K94" s="45">
        <v>372</v>
      </c>
      <c r="L94" s="45">
        <v>413</v>
      </c>
      <c r="M94" s="90" t="s">
        <v>70</v>
      </c>
      <c r="N94" s="45">
        <v>463</v>
      </c>
      <c r="O94" s="78">
        <v>521</v>
      </c>
    </row>
    <row r="95" spans="1:15" x14ac:dyDescent="0.25">
      <c r="A95" s="79"/>
      <c r="B95" s="44"/>
      <c r="C95" s="44"/>
      <c r="D95" s="44" t="s">
        <v>122</v>
      </c>
      <c r="E95" s="44"/>
      <c r="F95" s="44"/>
      <c r="G95" s="68" t="s">
        <v>74</v>
      </c>
      <c r="H95" s="45">
        <v>1078</v>
      </c>
      <c r="I95" s="45">
        <v>1987</v>
      </c>
      <c r="J95" s="44"/>
      <c r="K95" s="44"/>
      <c r="L95" s="44"/>
      <c r="M95" s="44"/>
      <c r="N95" s="44"/>
      <c r="O95" s="77"/>
    </row>
    <row r="96" spans="1:15" x14ac:dyDescent="0.25">
      <c r="A96" s="66" t="s">
        <v>16</v>
      </c>
      <c r="B96" s="76">
        <v>355</v>
      </c>
      <c r="C96" s="76">
        <v>461</v>
      </c>
      <c r="D96" s="67" t="s">
        <v>16</v>
      </c>
      <c r="E96" s="76">
        <v>463</v>
      </c>
      <c r="F96" s="76">
        <v>1736</v>
      </c>
      <c r="G96" s="44"/>
      <c r="H96" s="44"/>
      <c r="I96" s="44"/>
      <c r="J96" s="44"/>
      <c r="K96" s="44"/>
      <c r="L96" s="44"/>
      <c r="M96" s="44"/>
      <c r="N96" s="44"/>
      <c r="O96" s="77"/>
    </row>
    <row r="97" spans="1:15" x14ac:dyDescent="0.25">
      <c r="A97" s="66" t="s">
        <v>17</v>
      </c>
      <c r="B97" s="76">
        <v>1159</v>
      </c>
      <c r="C97" s="76">
        <v>1418</v>
      </c>
      <c r="D97" s="67" t="s">
        <v>17</v>
      </c>
      <c r="E97" s="76">
        <v>1344</v>
      </c>
      <c r="F97" s="76">
        <v>1318</v>
      </c>
      <c r="G97" s="68" t="s">
        <v>17</v>
      </c>
      <c r="H97" s="45">
        <v>701</v>
      </c>
      <c r="I97" s="45">
        <v>796</v>
      </c>
      <c r="J97" s="68" t="s">
        <v>17</v>
      </c>
      <c r="K97" s="45">
        <v>1247</v>
      </c>
      <c r="L97" s="45">
        <v>1499</v>
      </c>
      <c r="M97" s="68" t="s">
        <v>17</v>
      </c>
      <c r="N97" s="45">
        <v>1406</v>
      </c>
      <c r="O97" s="78">
        <v>1262</v>
      </c>
    </row>
    <row r="98" spans="1:15" x14ac:dyDescent="0.25">
      <c r="A98" s="66" t="s">
        <v>18</v>
      </c>
      <c r="B98" s="76">
        <v>7307</v>
      </c>
      <c r="C98" s="76">
        <v>7729</v>
      </c>
      <c r="D98" s="67" t="s">
        <v>18</v>
      </c>
      <c r="E98" s="76">
        <v>8272</v>
      </c>
      <c r="F98" s="76">
        <v>9651</v>
      </c>
      <c r="G98" s="68" t="s">
        <v>18</v>
      </c>
      <c r="H98" s="45">
        <v>9158</v>
      </c>
      <c r="I98" s="45">
        <v>9056</v>
      </c>
      <c r="J98" s="68" t="s">
        <v>18</v>
      </c>
      <c r="K98" s="45">
        <v>7451</v>
      </c>
      <c r="L98" s="45">
        <v>7844</v>
      </c>
      <c r="M98" s="68" t="s">
        <v>18</v>
      </c>
      <c r="N98" s="45">
        <v>6340</v>
      </c>
      <c r="O98" s="78">
        <v>8249</v>
      </c>
    </row>
    <row r="99" spans="1:15" x14ac:dyDescent="0.25">
      <c r="A99" s="79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68" t="s">
        <v>98</v>
      </c>
      <c r="N99" s="71"/>
      <c r="O99" s="72"/>
    </row>
    <row r="100" spans="1:15" x14ac:dyDescent="0.25">
      <c r="A100" s="66" t="s">
        <v>19</v>
      </c>
      <c r="B100" s="70"/>
      <c r="C100" s="70"/>
      <c r="D100" s="67" t="s">
        <v>19</v>
      </c>
      <c r="E100" s="70"/>
      <c r="F100" s="70"/>
      <c r="G100" s="68" t="s">
        <v>19</v>
      </c>
      <c r="H100" s="71"/>
      <c r="I100" s="71"/>
      <c r="J100" s="68" t="s">
        <v>19</v>
      </c>
      <c r="K100" s="71"/>
      <c r="L100" s="71"/>
      <c r="M100" s="44"/>
      <c r="N100" s="44"/>
      <c r="O100" s="77"/>
    </row>
    <row r="101" spans="1:15" x14ac:dyDescent="0.25">
      <c r="A101" s="66" t="s">
        <v>20</v>
      </c>
      <c r="B101" s="70"/>
      <c r="C101" s="70"/>
      <c r="D101" s="67" t="s">
        <v>20</v>
      </c>
      <c r="E101" s="70"/>
      <c r="F101" s="70"/>
      <c r="G101" s="68" t="s">
        <v>20</v>
      </c>
      <c r="H101" s="71"/>
      <c r="I101" s="71"/>
      <c r="J101" s="68" t="s">
        <v>20</v>
      </c>
      <c r="K101" s="71"/>
      <c r="L101" s="71"/>
      <c r="M101" s="68" t="s">
        <v>20</v>
      </c>
      <c r="N101" s="71"/>
      <c r="O101" s="72"/>
    </row>
    <row r="102" spans="1:15" x14ac:dyDescent="0.25">
      <c r="A102" s="66" t="s">
        <v>21</v>
      </c>
      <c r="B102" s="70"/>
      <c r="C102" s="70"/>
      <c r="D102" s="67" t="s">
        <v>58</v>
      </c>
      <c r="E102" s="70"/>
      <c r="F102" s="70"/>
      <c r="G102" s="68" t="s">
        <v>75</v>
      </c>
      <c r="H102" s="71"/>
      <c r="I102" s="71"/>
      <c r="J102" s="68" t="s">
        <v>90</v>
      </c>
      <c r="K102" s="71"/>
      <c r="L102" s="71"/>
      <c r="M102" s="90" t="s">
        <v>117</v>
      </c>
      <c r="N102" s="71"/>
      <c r="O102" s="72"/>
    </row>
    <row r="103" spans="1:15" x14ac:dyDescent="0.25">
      <c r="A103" s="66" t="s">
        <v>13</v>
      </c>
      <c r="B103" s="76">
        <v>20307</v>
      </c>
      <c r="C103" s="76">
        <v>20223</v>
      </c>
      <c r="D103" s="67" t="s">
        <v>55</v>
      </c>
      <c r="E103" s="76">
        <v>20713</v>
      </c>
      <c r="F103" s="76">
        <v>21854</v>
      </c>
      <c r="G103" s="68" t="s">
        <v>76</v>
      </c>
      <c r="H103" s="45">
        <v>21929</v>
      </c>
      <c r="I103" s="45">
        <v>23039</v>
      </c>
      <c r="J103" s="68" t="s">
        <v>91</v>
      </c>
      <c r="K103" s="45">
        <v>24375</v>
      </c>
      <c r="L103" s="45">
        <v>26563</v>
      </c>
      <c r="M103" s="91" t="s">
        <v>118</v>
      </c>
      <c r="N103" s="45">
        <v>28335</v>
      </c>
      <c r="O103" s="78">
        <v>31310</v>
      </c>
    </row>
    <row r="104" spans="1:15" x14ac:dyDescent="0.25">
      <c r="A104" s="79"/>
      <c r="B104" s="44"/>
      <c r="C104" s="44"/>
      <c r="D104" s="44" t="s">
        <v>123</v>
      </c>
      <c r="E104" s="44"/>
      <c r="F104" s="44"/>
      <c r="G104" s="44"/>
      <c r="H104" s="44"/>
      <c r="I104" s="44"/>
      <c r="J104" s="44"/>
      <c r="K104" s="44"/>
      <c r="L104" s="44"/>
      <c r="M104" s="68" t="s">
        <v>99</v>
      </c>
      <c r="N104" s="45">
        <v>5994</v>
      </c>
      <c r="O104" s="78">
        <v>5627</v>
      </c>
    </row>
    <row r="105" spans="1:15" x14ac:dyDescent="0.25">
      <c r="A105" s="66" t="s">
        <v>22</v>
      </c>
      <c r="B105" s="70"/>
      <c r="C105" s="70"/>
      <c r="D105" s="67" t="s">
        <v>22</v>
      </c>
      <c r="E105" s="70"/>
      <c r="F105" s="70"/>
      <c r="G105" s="68" t="s">
        <v>22</v>
      </c>
      <c r="H105" s="71"/>
      <c r="I105" s="71"/>
      <c r="J105" s="68" t="s">
        <v>22</v>
      </c>
      <c r="K105" s="71"/>
      <c r="L105" s="71"/>
      <c r="M105" s="44"/>
      <c r="N105" s="44"/>
      <c r="O105" s="77"/>
    </row>
    <row r="106" spans="1:15" x14ac:dyDescent="0.25">
      <c r="A106" s="66" t="s">
        <v>23</v>
      </c>
      <c r="B106" s="76">
        <v>9794</v>
      </c>
      <c r="C106" s="76">
        <v>9794</v>
      </c>
      <c r="D106" s="67" t="s">
        <v>23</v>
      </c>
      <c r="E106" s="76">
        <v>9794</v>
      </c>
      <c r="F106" s="76">
        <v>9794</v>
      </c>
      <c r="G106" s="68" t="s">
        <v>23</v>
      </c>
      <c r="H106" s="45">
        <v>9794</v>
      </c>
      <c r="I106" s="45">
        <v>9794</v>
      </c>
      <c r="J106" s="68" t="s">
        <v>23</v>
      </c>
      <c r="K106" s="45">
        <v>9794</v>
      </c>
      <c r="L106" s="45">
        <v>9794</v>
      </c>
      <c r="M106" s="68" t="s">
        <v>23</v>
      </c>
      <c r="N106" s="45">
        <v>9781</v>
      </c>
      <c r="O106" s="78">
        <v>9781</v>
      </c>
    </row>
    <row r="107" spans="1:15" x14ac:dyDescent="0.25">
      <c r="A107" s="66" t="s">
        <v>24</v>
      </c>
      <c r="B107" s="70"/>
      <c r="C107" s="70"/>
      <c r="D107" s="67" t="s">
        <v>24</v>
      </c>
      <c r="E107" s="70"/>
      <c r="F107" s="70"/>
      <c r="G107" s="68" t="s">
        <v>77</v>
      </c>
      <c r="H107" s="71"/>
      <c r="I107" s="71"/>
      <c r="J107" s="68" t="s">
        <v>77</v>
      </c>
      <c r="K107" s="71"/>
      <c r="L107" s="71"/>
      <c r="M107" s="68" t="s">
        <v>119</v>
      </c>
      <c r="N107" s="71"/>
      <c r="O107" s="72"/>
    </row>
    <row r="108" spans="1:15" x14ac:dyDescent="0.25">
      <c r="A108" s="66" t="s">
        <v>25</v>
      </c>
      <c r="B108" s="70"/>
      <c r="C108" s="70"/>
      <c r="D108" s="67" t="s">
        <v>59</v>
      </c>
      <c r="E108" s="70"/>
      <c r="F108" s="70"/>
      <c r="G108" s="68" t="s">
        <v>112</v>
      </c>
      <c r="H108" s="44"/>
      <c r="I108" s="44"/>
      <c r="J108" s="68" t="s">
        <v>115</v>
      </c>
      <c r="K108" s="45">
        <v>4844</v>
      </c>
      <c r="L108" s="45">
        <v>4847</v>
      </c>
      <c r="M108" s="68" t="s">
        <v>120</v>
      </c>
      <c r="N108" s="45">
        <v>4830</v>
      </c>
      <c r="O108" s="78">
        <v>5163</v>
      </c>
    </row>
    <row r="109" spans="1:15" x14ac:dyDescent="0.25">
      <c r="A109" s="66" t="s">
        <v>13</v>
      </c>
      <c r="B109" s="76">
        <v>4749</v>
      </c>
      <c r="C109" s="76">
        <v>4751</v>
      </c>
      <c r="D109" s="67" t="s">
        <v>55</v>
      </c>
      <c r="E109" s="76">
        <v>4679</v>
      </c>
      <c r="F109" s="76">
        <v>4658</v>
      </c>
      <c r="G109" s="80" t="s">
        <v>113</v>
      </c>
      <c r="H109" s="45">
        <v>4603</v>
      </c>
      <c r="I109" s="45">
        <v>4861</v>
      </c>
      <c r="J109" s="80" t="s">
        <v>114</v>
      </c>
      <c r="K109" s="44"/>
      <c r="L109" s="44"/>
      <c r="M109" s="80" t="s">
        <v>121</v>
      </c>
      <c r="N109" s="44"/>
      <c r="O109" s="77"/>
    </row>
    <row r="110" spans="1:15" x14ac:dyDescent="0.25">
      <c r="A110" s="79"/>
      <c r="B110" s="44"/>
      <c r="C110" s="44"/>
      <c r="D110" s="44" t="s">
        <v>124</v>
      </c>
      <c r="E110" s="44"/>
      <c r="F110" s="44"/>
      <c r="G110" s="44"/>
      <c r="H110" s="44"/>
      <c r="I110" s="44"/>
      <c r="J110" s="44"/>
      <c r="K110" s="44"/>
      <c r="L110" s="44"/>
      <c r="M110" s="68" t="s">
        <v>100</v>
      </c>
      <c r="N110" s="45">
        <v>1136</v>
      </c>
      <c r="O110" s="78">
        <v>636</v>
      </c>
    </row>
    <row r="111" spans="1:15" x14ac:dyDescent="0.25">
      <c r="A111" s="79"/>
      <c r="B111" s="44"/>
      <c r="C111" s="44"/>
      <c r="D111" s="44" t="s">
        <v>16</v>
      </c>
      <c r="E111" s="81">
        <v>0</v>
      </c>
      <c r="F111" s="76">
        <v>4992</v>
      </c>
      <c r="G111" s="68" t="s">
        <v>16</v>
      </c>
      <c r="H111" s="45">
        <v>7595</v>
      </c>
      <c r="I111" s="45">
        <v>4956</v>
      </c>
      <c r="J111" s="68" t="s">
        <v>16</v>
      </c>
      <c r="K111" s="45">
        <v>3064</v>
      </c>
      <c r="L111" s="45">
        <v>935</v>
      </c>
      <c r="M111" s="44"/>
      <c r="N111" s="44"/>
      <c r="O111" s="77"/>
    </row>
    <row r="112" spans="1:15" x14ac:dyDescent="0.25">
      <c r="A112" s="66" t="s">
        <v>26</v>
      </c>
      <c r="B112" s="76">
        <v>1031</v>
      </c>
      <c r="C112" s="76">
        <v>1002</v>
      </c>
      <c r="D112" s="67" t="s">
        <v>26</v>
      </c>
      <c r="E112" s="76">
        <v>1092</v>
      </c>
      <c r="F112" s="76">
        <v>1303</v>
      </c>
      <c r="G112" s="68" t="s">
        <v>26</v>
      </c>
      <c r="H112" s="45">
        <v>926</v>
      </c>
      <c r="I112" s="45">
        <v>1428</v>
      </c>
      <c r="J112" s="68" t="s">
        <v>26</v>
      </c>
      <c r="K112" s="45">
        <v>1733</v>
      </c>
      <c r="L112" s="45">
        <v>3309</v>
      </c>
      <c r="M112" s="68" t="s">
        <v>26</v>
      </c>
      <c r="N112" s="45">
        <v>3850</v>
      </c>
      <c r="O112" s="78">
        <v>3766</v>
      </c>
    </row>
    <row r="113" spans="1:15" x14ac:dyDescent="0.25">
      <c r="A113" s="66" t="s">
        <v>27</v>
      </c>
      <c r="B113" s="76">
        <v>15574</v>
      </c>
      <c r="C113" s="76">
        <v>15547</v>
      </c>
      <c r="D113" s="67" t="s">
        <v>27</v>
      </c>
      <c r="E113" s="76">
        <v>15565</v>
      </c>
      <c r="F113" s="76">
        <v>20747</v>
      </c>
      <c r="G113" s="68" t="s">
        <v>27</v>
      </c>
      <c r="H113" s="45">
        <v>22918</v>
      </c>
      <c r="I113" s="45">
        <v>21039</v>
      </c>
      <c r="J113" s="68" t="s">
        <v>27</v>
      </c>
      <c r="K113" s="45">
        <v>19435</v>
      </c>
      <c r="L113" s="45">
        <v>18885</v>
      </c>
      <c r="M113" s="68" t="s">
        <v>101</v>
      </c>
      <c r="N113" s="45">
        <v>53926</v>
      </c>
      <c r="O113" s="78">
        <v>56283</v>
      </c>
    </row>
    <row r="114" spans="1:15" x14ac:dyDescent="0.25">
      <c r="A114" s="66" t="s">
        <v>28</v>
      </c>
      <c r="B114" s="73">
        <v>43188</v>
      </c>
      <c r="C114" s="73">
        <v>43499</v>
      </c>
      <c r="D114" s="67" t="s">
        <v>28</v>
      </c>
      <c r="E114" s="73">
        <v>44550</v>
      </c>
      <c r="F114" s="73">
        <v>52252</v>
      </c>
      <c r="G114" s="68" t="s">
        <v>28</v>
      </c>
      <c r="H114" s="74">
        <v>54005</v>
      </c>
      <c r="I114" s="74">
        <v>53134</v>
      </c>
      <c r="J114" s="68" t="s">
        <v>28</v>
      </c>
      <c r="K114" s="74">
        <v>51261</v>
      </c>
      <c r="L114" s="74">
        <v>53292</v>
      </c>
      <c r="M114" s="68" t="s">
        <v>28</v>
      </c>
      <c r="N114" s="74">
        <v>60266</v>
      </c>
      <c r="O114" s="75">
        <v>64532</v>
      </c>
    </row>
    <row r="115" spans="1:15" x14ac:dyDescent="0.25">
      <c r="A115" s="66" t="s">
        <v>29</v>
      </c>
      <c r="B115" s="70"/>
      <c r="C115" s="70"/>
      <c r="D115" s="67" t="s">
        <v>60</v>
      </c>
      <c r="E115" s="70"/>
      <c r="F115" s="70"/>
      <c r="G115" s="68" t="s">
        <v>78</v>
      </c>
      <c r="H115" s="71"/>
      <c r="I115" s="71"/>
      <c r="J115" s="68" t="s">
        <v>78</v>
      </c>
      <c r="K115" s="71"/>
      <c r="L115" s="71"/>
      <c r="M115" s="68" t="s">
        <v>78</v>
      </c>
      <c r="N115" s="71"/>
      <c r="O115" s="72"/>
    </row>
    <row r="116" spans="1:15" x14ac:dyDescent="0.25">
      <c r="A116" s="66" t="s">
        <v>30</v>
      </c>
      <c r="B116" s="70"/>
      <c r="C116" s="70"/>
      <c r="D116" s="67" t="s">
        <v>30</v>
      </c>
      <c r="E116" s="70"/>
      <c r="F116" s="70"/>
      <c r="G116" s="68" t="s">
        <v>30</v>
      </c>
      <c r="H116" s="71"/>
      <c r="I116" s="71"/>
      <c r="J116" s="68" t="s">
        <v>30</v>
      </c>
      <c r="K116" s="71"/>
      <c r="L116" s="71"/>
      <c r="M116" s="68" t="s">
        <v>30</v>
      </c>
      <c r="N116" s="71"/>
      <c r="O116" s="72"/>
    </row>
    <row r="117" spans="1:15" x14ac:dyDescent="0.25">
      <c r="A117" s="66" t="s">
        <v>31</v>
      </c>
      <c r="B117" s="73">
        <v>2073</v>
      </c>
      <c r="C117" s="73">
        <v>1944</v>
      </c>
      <c r="D117" s="67" t="s">
        <v>31</v>
      </c>
      <c r="E117" s="73">
        <v>1627</v>
      </c>
      <c r="F117" s="73">
        <v>1547</v>
      </c>
      <c r="G117" s="68" t="s">
        <v>31</v>
      </c>
      <c r="H117" s="74">
        <v>1184</v>
      </c>
      <c r="I117" s="74">
        <v>1563</v>
      </c>
      <c r="J117" s="68" t="s">
        <v>31</v>
      </c>
      <c r="K117" s="74">
        <v>1131</v>
      </c>
      <c r="L117" s="74">
        <v>2242</v>
      </c>
      <c r="M117" s="68" t="s">
        <v>102</v>
      </c>
      <c r="N117" s="74">
        <v>1518</v>
      </c>
      <c r="O117" s="75">
        <v>2287</v>
      </c>
    </row>
    <row r="118" spans="1:15" x14ac:dyDescent="0.25">
      <c r="A118" s="79"/>
      <c r="B118" s="44"/>
      <c r="C118" s="44"/>
      <c r="D118" s="44" t="s">
        <v>125</v>
      </c>
      <c r="E118" s="44"/>
      <c r="F118" s="44"/>
      <c r="G118" s="44"/>
      <c r="H118" s="44"/>
      <c r="I118" s="44"/>
      <c r="J118" s="44"/>
      <c r="K118" s="44"/>
      <c r="L118" s="44"/>
      <c r="M118" s="68" t="s">
        <v>103</v>
      </c>
      <c r="N118" s="45">
        <v>955</v>
      </c>
      <c r="O118" s="78">
        <v>801</v>
      </c>
    </row>
    <row r="119" spans="1:15" x14ac:dyDescent="0.25">
      <c r="A119" s="66" t="s">
        <v>32</v>
      </c>
      <c r="B119" s="76">
        <v>3306</v>
      </c>
      <c r="C119" s="76">
        <v>3480</v>
      </c>
      <c r="D119" s="67" t="s">
        <v>32</v>
      </c>
      <c r="E119" s="76">
        <v>3696</v>
      </c>
      <c r="F119" s="76">
        <v>4122</v>
      </c>
      <c r="G119" s="68" t="s">
        <v>32</v>
      </c>
      <c r="H119" s="45">
        <v>4296</v>
      </c>
      <c r="I119" s="45">
        <v>4503</v>
      </c>
      <c r="J119" s="68" t="s">
        <v>32</v>
      </c>
      <c r="K119" s="45">
        <v>4626</v>
      </c>
      <c r="L119" s="45">
        <v>4888</v>
      </c>
      <c r="M119" s="68" t="s">
        <v>32</v>
      </c>
      <c r="N119" s="45">
        <v>4661</v>
      </c>
      <c r="O119" s="78">
        <v>5116</v>
      </c>
    </row>
    <row r="120" spans="1:15" x14ac:dyDescent="0.25">
      <c r="A120" s="66" t="s">
        <v>33</v>
      </c>
      <c r="B120" s="76">
        <v>1713</v>
      </c>
      <c r="C120" s="76">
        <v>1600</v>
      </c>
      <c r="D120" s="67" t="s">
        <v>33</v>
      </c>
      <c r="E120" s="76">
        <v>2293</v>
      </c>
      <c r="F120" s="76">
        <v>2300</v>
      </c>
      <c r="G120" s="68" t="s">
        <v>33</v>
      </c>
      <c r="H120" s="45">
        <v>2622</v>
      </c>
      <c r="I120" s="45">
        <v>2743</v>
      </c>
      <c r="J120" s="68" t="s">
        <v>33</v>
      </c>
      <c r="K120" s="45">
        <v>2572</v>
      </c>
      <c r="L120" s="45">
        <v>3674</v>
      </c>
      <c r="M120" s="68" t="s">
        <v>33</v>
      </c>
      <c r="N120" s="45">
        <v>2976</v>
      </c>
      <c r="O120" s="78">
        <v>3266</v>
      </c>
    </row>
    <row r="121" spans="1:15" x14ac:dyDescent="0.25">
      <c r="A121" s="66" t="s">
        <v>35</v>
      </c>
      <c r="B121" s="76">
        <v>1370</v>
      </c>
      <c r="C121" s="76">
        <v>1367</v>
      </c>
      <c r="D121" s="67" t="s">
        <v>35</v>
      </c>
      <c r="E121" s="76">
        <v>1680</v>
      </c>
      <c r="F121" s="76">
        <v>1926</v>
      </c>
      <c r="G121" s="68" t="s">
        <v>35</v>
      </c>
      <c r="H121" s="45">
        <v>2266</v>
      </c>
      <c r="I121" s="45">
        <v>3195</v>
      </c>
      <c r="J121" s="68" t="s">
        <v>35</v>
      </c>
      <c r="K121" s="45">
        <v>2924</v>
      </c>
      <c r="L121" s="45">
        <v>3022</v>
      </c>
      <c r="M121" s="68" t="s">
        <v>35</v>
      </c>
      <c r="N121" s="45">
        <v>3287</v>
      </c>
      <c r="O121" s="78">
        <v>3701</v>
      </c>
    </row>
    <row r="122" spans="1:15" x14ac:dyDescent="0.25">
      <c r="A122" s="79"/>
      <c r="B122" s="44"/>
      <c r="C122" s="44"/>
      <c r="D122" s="44" t="s">
        <v>126</v>
      </c>
      <c r="E122" s="44"/>
      <c r="F122" s="44"/>
      <c r="G122" s="68" t="s">
        <v>79</v>
      </c>
      <c r="H122" s="45">
        <v>2772</v>
      </c>
      <c r="I122" s="45">
        <v>2581</v>
      </c>
      <c r="J122" s="44"/>
      <c r="K122" s="44"/>
      <c r="L122" s="44"/>
      <c r="M122" s="44"/>
      <c r="N122" s="44"/>
      <c r="O122" s="77"/>
    </row>
    <row r="123" spans="1:15" x14ac:dyDescent="0.25">
      <c r="A123" s="66" t="s">
        <v>34</v>
      </c>
      <c r="B123" s="76">
        <v>1690</v>
      </c>
      <c r="C123" s="76">
        <v>1849</v>
      </c>
      <c r="D123" s="67" t="s">
        <v>34</v>
      </c>
      <c r="E123" s="76">
        <v>1806</v>
      </c>
      <c r="F123" s="76">
        <v>1861</v>
      </c>
      <c r="G123" s="68" t="s">
        <v>34</v>
      </c>
      <c r="H123" s="45">
        <v>1580</v>
      </c>
      <c r="I123" s="45">
        <v>1635</v>
      </c>
      <c r="J123" s="68" t="s">
        <v>34</v>
      </c>
      <c r="K123" s="45">
        <v>1648</v>
      </c>
      <c r="L123" s="45">
        <v>1822</v>
      </c>
      <c r="M123" s="68" t="s">
        <v>104</v>
      </c>
      <c r="N123" s="45">
        <v>2989</v>
      </c>
      <c r="O123" s="78">
        <v>3219</v>
      </c>
    </row>
    <row r="124" spans="1:15" x14ac:dyDescent="0.25">
      <c r="A124" s="66" t="s">
        <v>36</v>
      </c>
      <c r="B124" s="76">
        <v>579</v>
      </c>
      <c r="C124" s="76">
        <v>594</v>
      </c>
      <c r="D124" s="67" t="s">
        <v>36</v>
      </c>
      <c r="E124" s="76">
        <v>585</v>
      </c>
      <c r="F124" s="76">
        <v>673</v>
      </c>
      <c r="G124" s="44"/>
      <c r="H124" s="44"/>
      <c r="I124" s="44"/>
      <c r="J124" s="44"/>
      <c r="K124" s="44"/>
      <c r="L124" s="44"/>
      <c r="M124" s="44"/>
      <c r="N124" s="44"/>
      <c r="O124" s="77"/>
    </row>
    <row r="125" spans="1:15" x14ac:dyDescent="0.25">
      <c r="A125" s="79"/>
      <c r="B125" s="44"/>
      <c r="C125" s="44"/>
      <c r="D125" s="44" t="s">
        <v>61</v>
      </c>
      <c r="E125" s="76">
        <v>455</v>
      </c>
      <c r="F125" s="76">
        <v>602</v>
      </c>
      <c r="G125" s="44"/>
      <c r="H125" s="44"/>
      <c r="I125" s="44"/>
      <c r="J125" s="68" t="s">
        <v>61</v>
      </c>
      <c r="K125" s="45">
        <v>431</v>
      </c>
      <c r="L125" s="45">
        <v>1067</v>
      </c>
      <c r="M125" s="68" t="s">
        <v>61</v>
      </c>
      <c r="N125" s="45">
        <v>1075</v>
      </c>
      <c r="O125" s="78">
        <v>736</v>
      </c>
    </row>
    <row r="126" spans="1:15" x14ac:dyDescent="0.25">
      <c r="A126" s="66" t="s">
        <v>37</v>
      </c>
      <c r="B126" s="76">
        <v>654</v>
      </c>
      <c r="C126" s="76">
        <v>1867</v>
      </c>
      <c r="D126" s="67" t="s">
        <v>37</v>
      </c>
      <c r="E126" s="76">
        <v>1128</v>
      </c>
      <c r="F126" s="76">
        <v>1121</v>
      </c>
      <c r="G126" s="68" t="s">
        <v>37</v>
      </c>
      <c r="H126" s="45">
        <v>2127</v>
      </c>
      <c r="I126" s="45">
        <v>1306</v>
      </c>
      <c r="J126" s="68" t="s">
        <v>37</v>
      </c>
      <c r="K126" s="45">
        <v>1907</v>
      </c>
      <c r="L126" s="45">
        <v>1858</v>
      </c>
      <c r="M126" s="68" t="s">
        <v>37</v>
      </c>
      <c r="N126" s="45">
        <v>1117</v>
      </c>
      <c r="O126" s="78">
        <v>1078</v>
      </c>
    </row>
    <row r="127" spans="1:15" x14ac:dyDescent="0.25">
      <c r="A127" s="66" t="s">
        <v>38</v>
      </c>
      <c r="B127" s="76">
        <v>11385</v>
      </c>
      <c r="C127" s="76">
        <v>12701</v>
      </c>
      <c r="D127" s="67" t="s">
        <v>38</v>
      </c>
      <c r="E127" s="76">
        <v>13270</v>
      </c>
      <c r="F127" s="76">
        <v>14152</v>
      </c>
      <c r="G127" s="68" t="s">
        <v>38</v>
      </c>
      <c r="H127" s="45">
        <v>16847</v>
      </c>
      <c r="I127" s="45">
        <v>17526</v>
      </c>
      <c r="J127" s="68" t="s">
        <v>38</v>
      </c>
      <c r="K127" s="45">
        <v>15239</v>
      </c>
      <c r="L127" s="45">
        <v>18573</v>
      </c>
      <c r="M127" s="68" t="s">
        <v>38</v>
      </c>
      <c r="N127" s="45">
        <v>18578</v>
      </c>
      <c r="O127" s="78">
        <v>20204</v>
      </c>
    </row>
    <row r="128" spans="1:15" x14ac:dyDescent="0.25">
      <c r="A128" s="66" t="s">
        <v>39</v>
      </c>
      <c r="B128" s="70"/>
      <c r="C128" s="70"/>
      <c r="D128" s="67" t="s">
        <v>39</v>
      </c>
      <c r="E128" s="70"/>
      <c r="F128" s="70"/>
      <c r="G128" s="68" t="s">
        <v>39</v>
      </c>
      <c r="H128" s="71"/>
      <c r="I128" s="71"/>
      <c r="J128" s="68" t="s">
        <v>39</v>
      </c>
      <c r="K128" s="71"/>
      <c r="L128" s="71"/>
      <c r="M128" s="68" t="s">
        <v>39</v>
      </c>
      <c r="N128" s="71"/>
      <c r="O128" s="72"/>
    </row>
    <row r="129" spans="1:15" x14ac:dyDescent="0.25">
      <c r="A129" s="66" t="s">
        <v>40</v>
      </c>
      <c r="B129" s="76">
        <v>13179</v>
      </c>
      <c r="C129" s="76">
        <v>11847</v>
      </c>
      <c r="D129" s="67" t="s">
        <v>40</v>
      </c>
      <c r="E129" s="76">
        <v>11082</v>
      </c>
      <c r="F129" s="76">
        <v>9795</v>
      </c>
      <c r="G129" s="68" t="s">
        <v>40</v>
      </c>
      <c r="H129" s="45">
        <v>8477</v>
      </c>
      <c r="I129" s="45">
        <v>6766</v>
      </c>
      <c r="J129" s="68" t="s">
        <v>40</v>
      </c>
      <c r="K129" s="45">
        <v>6201</v>
      </c>
      <c r="L129" s="45">
        <v>6592</v>
      </c>
      <c r="M129" s="68" t="s">
        <v>105</v>
      </c>
      <c r="N129" s="45">
        <v>8253</v>
      </c>
      <c r="O129" s="78">
        <v>8873</v>
      </c>
    </row>
    <row r="130" spans="1:15" x14ac:dyDescent="0.25">
      <c r="A130" s="66" t="s">
        <v>41</v>
      </c>
      <c r="B130" s="76">
        <v>11493</v>
      </c>
      <c r="C130" s="76">
        <v>14200</v>
      </c>
      <c r="D130" s="67" t="s">
        <v>41</v>
      </c>
      <c r="E130" s="76">
        <v>16005</v>
      </c>
      <c r="F130" s="76">
        <v>12392</v>
      </c>
      <c r="G130" s="68" t="s">
        <v>41</v>
      </c>
      <c r="H130" s="45">
        <v>15138</v>
      </c>
      <c r="I130" s="45">
        <v>13855</v>
      </c>
      <c r="J130" s="68" t="s">
        <v>41</v>
      </c>
      <c r="K130" s="45">
        <v>13378</v>
      </c>
      <c r="L130" s="45">
        <v>9810</v>
      </c>
      <c r="M130" s="68" t="s">
        <v>41</v>
      </c>
      <c r="N130" s="45">
        <v>9163</v>
      </c>
      <c r="O130" s="78">
        <v>8452</v>
      </c>
    </row>
    <row r="131" spans="1:15" x14ac:dyDescent="0.25">
      <c r="A131" s="79"/>
      <c r="B131" s="44"/>
      <c r="C131" s="44"/>
      <c r="D131" s="44" t="s">
        <v>127</v>
      </c>
      <c r="E131" s="44"/>
      <c r="F131" s="44"/>
      <c r="G131" s="44"/>
      <c r="H131" s="44"/>
      <c r="I131" s="44"/>
      <c r="J131" s="44"/>
      <c r="K131" s="44"/>
      <c r="L131" s="44"/>
      <c r="M131" s="68" t="s">
        <v>104</v>
      </c>
      <c r="N131" s="45">
        <v>3652</v>
      </c>
      <c r="O131" s="78">
        <v>3509</v>
      </c>
    </row>
    <row r="132" spans="1:15" x14ac:dyDescent="0.25">
      <c r="A132" s="66" t="s">
        <v>34</v>
      </c>
      <c r="B132" s="76">
        <v>2777</v>
      </c>
      <c r="C132" s="76">
        <v>2700</v>
      </c>
      <c r="D132" s="67" t="s">
        <v>34</v>
      </c>
      <c r="E132" s="76">
        <v>2628</v>
      </c>
      <c r="F132" s="76">
        <v>2559</v>
      </c>
      <c r="G132" s="68" t="s">
        <v>34</v>
      </c>
      <c r="H132" s="45">
        <v>2602</v>
      </c>
      <c r="I132" s="45">
        <v>2246</v>
      </c>
      <c r="J132" s="68" t="s">
        <v>34</v>
      </c>
      <c r="K132" s="45">
        <v>2278</v>
      </c>
      <c r="L132" s="45">
        <v>2296</v>
      </c>
      <c r="M132" s="44"/>
      <c r="N132" s="44"/>
      <c r="O132" s="77"/>
    </row>
    <row r="133" spans="1:15" x14ac:dyDescent="0.25">
      <c r="A133" s="66" t="s">
        <v>16</v>
      </c>
      <c r="B133" s="76">
        <v>1924</v>
      </c>
      <c r="C133" s="76">
        <v>2028</v>
      </c>
      <c r="D133" s="67" t="s">
        <v>16</v>
      </c>
      <c r="E133" s="76">
        <v>2047</v>
      </c>
      <c r="F133" s="81">
        <v>0</v>
      </c>
      <c r="G133" s="44"/>
      <c r="H133" s="44"/>
      <c r="I133" s="44"/>
      <c r="J133" s="44"/>
      <c r="K133" s="44"/>
      <c r="L133" s="44"/>
      <c r="M133" s="68" t="s">
        <v>16</v>
      </c>
      <c r="N133" s="45">
        <v>163</v>
      </c>
      <c r="O133" s="78">
        <v>1456</v>
      </c>
    </row>
    <row r="134" spans="1:15" x14ac:dyDescent="0.25">
      <c r="A134" s="79"/>
      <c r="B134" s="44"/>
      <c r="C134" s="44"/>
      <c r="D134" s="44" t="s">
        <v>128</v>
      </c>
      <c r="E134" s="44"/>
      <c r="F134" s="44"/>
      <c r="G134" s="44"/>
      <c r="H134" s="44"/>
      <c r="I134" s="44"/>
      <c r="J134" s="44"/>
      <c r="K134" s="44"/>
      <c r="L134" s="44"/>
      <c r="M134" s="68" t="s">
        <v>106</v>
      </c>
      <c r="N134" s="45">
        <v>5801</v>
      </c>
      <c r="O134" s="78">
        <v>5294</v>
      </c>
    </row>
    <row r="135" spans="1:15" x14ac:dyDescent="0.25">
      <c r="A135" s="66" t="s">
        <v>42</v>
      </c>
      <c r="B135" s="76">
        <v>1533</v>
      </c>
      <c r="C135" s="76">
        <v>1419</v>
      </c>
      <c r="D135" s="67" t="s">
        <v>42</v>
      </c>
      <c r="E135" s="76">
        <v>1649</v>
      </c>
      <c r="F135" s="76">
        <v>1711</v>
      </c>
      <c r="G135" s="68" t="s">
        <v>42</v>
      </c>
      <c r="H135" s="45">
        <v>2128</v>
      </c>
      <c r="I135" s="45">
        <v>1891</v>
      </c>
      <c r="J135" s="68" t="s">
        <v>42</v>
      </c>
      <c r="K135" s="45">
        <v>1878</v>
      </c>
      <c r="L135" s="45">
        <v>2111</v>
      </c>
      <c r="M135" s="68" t="s">
        <v>42</v>
      </c>
      <c r="N135" s="45">
        <v>969</v>
      </c>
      <c r="O135" s="78">
        <v>1386</v>
      </c>
    </row>
    <row r="136" spans="1:15" x14ac:dyDescent="0.25">
      <c r="A136" s="66" t="s">
        <v>43</v>
      </c>
      <c r="B136" s="76">
        <v>30906</v>
      </c>
      <c r="C136" s="76">
        <v>32194</v>
      </c>
      <c r="D136" s="67" t="s">
        <v>43</v>
      </c>
      <c r="E136" s="76">
        <v>33411</v>
      </c>
      <c r="F136" s="76">
        <v>26457</v>
      </c>
      <c r="G136" s="68" t="s">
        <v>43</v>
      </c>
      <c r="H136" s="45">
        <v>28345</v>
      </c>
      <c r="I136" s="45">
        <v>24758</v>
      </c>
      <c r="J136" s="68" t="s">
        <v>43</v>
      </c>
      <c r="K136" s="45">
        <v>23735</v>
      </c>
      <c r="L136" s="45">
        <v>20809</v>
      </c>
      <c r="M136" s="68" t="s">
        <v>43</v>
      </c>
      <c r="N136" s="45">
        <v>28001</v>
      </c>
      <c r="O136" s="78">
        <v>28970</v>
      </c>
    </row>
    <row r="137" spans="1:15" x14ac:dyDescent="0.25">
      <c r="A137" s="66" t="s">
        <v>44</v>
      </c>
      <c r="B137" s="70"/>
      <c r="C137" s="70"/>
      <c r="D137" s="67" t="s">
        <v>44</v>
      </c>
      <c r="E137" s="70"/>
      <c r="F137" s="70"/>
      <c r="G137" s="68" t="s">
        <v>44</v>
      </c>
      <c r="H137" s="71"/>
      <c r="I137" s="71"/>
      <c r="J137" s="68" t="s">
        <v>44</v>
      </c>
      <c r="K137" s="71"/>
      <c r="L137" s="71"/>
      <c r="M137" s="68" t="s">
        <v>44</v>
      </c>
      <c r="N137" s="71"/>
      <c r="O137" s="72"/>
    </row>
    <row r="138" spans="1:15" x14ac:dyDescent="0.25">
      <c r="A138" s="66" t="s">
        <v>45</v>
      </c>
      <c r="B138" s="70"/>
      <c r="C138" s="70"/>
      <c r="D138" s="67" t="s">
        <v>62</v>
      </c>
      <c r="E138" s="70"/>
      <c r="F138" s="70"/>
      <c r="G138" s="68" t="s">
        <v>80</v>
      </c>
      <c r="H138" s="71"/>
      <c r="I138" s="71"/>
      <c r="J138" s="68" t="s">
        <v>80</v>
      </c>
      <c r="K138" s="71"/>
      <c r="L138" s="71"/>
      <c r="M138" s="68" t="s">
        <v>80</v>
      </c>
      <c r="N138" s="71"/>
      <c r="O138" s="72"/>
    </row>
    <row r="139" spans="1:15" x14ac:dyDescent="0.25">
      <c r="A139" s="66" t="s">
        <v>46</v>
      </c>
      <c r="B139" s="70"/>
      <c r="C139" s="70"/>
      <c r="D139" s="67" t="s">
        <v>46</v>
      </c>
      <c r="E139" s="70"/>
      <c r="F139" s="70"/>
      <c r="G139" s="68" t="s">
        <v>46</v>
      </c>
      <c r="H139" s="71"/>
      <c r="I139" s="71"/>
      <c r="J139" s="68" t="s">
        <v>46</v>
      </c>
      <c r="K139" s="71"/>
      <c r="L139" s="71"/>
      <c r="M139" s="68" t="s">
        <v>107</v>
      </c>
      <c r="N139" s="71"/>
      <c r="O139" s="72"/>
    </row>
    <row r="140" spans="1:15" x14ac:dyDescent="0.25">
      <c r="A140" s="66" t="s">
        <v>47</v>
      </c>
      <c r="B140" s="70"/>
      <c r="C140" s="70"/>
      <c r="D140" s="67" t="s">
        <v>63</v>
      </c>
      <c r="E140" s="70"/>
      <c r="F140" s="70"/>
      <c r="G140" s="68" t="s">
        <v>81</v>
      </c>
      <c r="H140" s="71"/>
      <c r="I140" s="71"/>
      <c r="J140" s="68" t="s">
        <v>92</v>
      </c>
      <c r="K140" s="71"/>
      <c r="L140" s="71"/>
      <c r="M140" s="68" t="s">
        <v>108</v>
      </c>
      <c r="N140" s="71"/>
      <c r="O140" s="72"/>
    </row>
    <row r="141" spans="1:15" x14ac:dyDescent="0.25">
      <c r="A141" s="66" t="s">
        <v>48</v>
      </c>
      <c r="B141" s="81">
        <v>0</v>
      </c>
      <c r="C141" s="81">
        <v>0</v>
      </c>
      <c r="D141" s="67" t="s">
        <v>64</v>
      </c>
      <c r="E141" s="81">
        <v>0</v>
      </c>
      <c r="F141" s="81">
        <v>0</v>
      </c>
      <c r="G141" s="68" t="s">
        <v>82</v>
      </c>
      <c r="H141" s="82">
        <v>0</v>
      </c>
      <c r="I141" s="82">
        <v>0</v>
      </c>
      <c r="J141" s="68" t="s">
        <v>93</v>
      </c>
      <c r="K141" s="82">
        <v>0</v>
      </c>
      <c r="L141" s="82">
        <v>0</v>
      </c>
      <c r="M141" s="68" t="s">
        <v>109</v>
      </c>
      <c r="N141" s="82">
        <v>0</v>
      </c>
      <c r="O141" s="83">
        <v>0</v>
      </c>
    </row>
    <row r="142" spans="1:15" x14ac:dyDescent="0.25">
      <c r="A142" s="66" t="s">
        <v>49</v>
      </c>
      <c r="B142" s="76">
        <v>13926</v>
      </c>
      <c r="C142" s="76">
        <v>13999</v>
      </c>
      <c r="D142" s="67" t="s">
        <v>49</v>
      </c>
      <c r="E142" s="76">
        <v>14069</v>
      </c>
      <c r="F142" s="76">
        <v>13982</v>
      </c>
      <c r="G142" s="68" t="s">
        <v>49</v>
      </c>
      <c r="H142" s="45">
        <v>12981</v>
      </c>
      <c r="I142" s="45">
        <v>10875</v>
      </c>
      <c r="J142" s="68" t="s">
        <v>49</v>
      </c>
      <c r="K142" s="45">
        <v>12294</v>
      </c>
      <c r="L142" s="45">
        <v>12053</v>
      </c>
      <c r="M142" s="68" t="s">
        <v>49</v>
      </c>
      <c r="N142" s="45">
        <v>11671</v>
      </c>
      <c r="O142" s="78">
        <v>11129</v>
      </c>
    </row>
    <row r="143" spans="1:15" x14ac:dyDescent="0.25">
      <c r="A143" s="66" t="s">
        <v>65</v>
      </c>
      <c r="B143" s="76">
        <v>-9252</v>
      </c>
      <c r="C143" s="76">
        <v>-8398</v>
      </c>
      <c r="D143" s="67" t="s">
        <v>65</v>
      </c>
      <c r="E143" s="76">
        <v>-7389</v>
      </c>
      <c r="F143" s="76">
        <v>3049</v>
      </c>
      <c r="G143" s="68" t="s">
        <v>83</v>
      </c>
      <c r="H143" s="45">
        <v>3456</v>
      </c>
      <c r="I143" s="45">
        <v>7623</v>
      </c>
      <c r="J143" s="68" t="s">
        <v>83</v>
      </c>
      <c r="K143" s="45">
        <v>7903</v>
      </c>
      <c r="L143" s="45">
        <v>9636</v>
      </c>
      <c r="M143" s="68" t="s">
        <v>83</v>
      </c>
      <c r="N143" s="45">
        <v>10039</v>
      </c>
      <c r="O143" s="78">
        <v>12454</v>
      </c>
    </row>
    <row r="144" spans="1:15" x14ac:dyDescent="0.25">
      <c r="A144" s="66" t="s">
        <v>50</v>
      </c>
      <c r="B144" s="76">
        <v>-3578</v>
      </c>
      <c r="C144" s="76">
        <v>-6766</v>
      </c>
      <c r="D144" s="67" t="s">
        <v>50</v>
      </c>
      <c r="E144" s="76">
        <v>-8577</v>
      </c>
      <c r="F144" s="76">
        <v>-5130</v>
      </c>
      <c r="G144" s="68" t="s">
        <v>50</v>
      </c>
      <c r="H144" s="45">
        <v>-7311</v>
      </c>
      <c r="I144" s="45">
        <v>-7275</v>
      </c>
      <c r="J144" s="68" t="s">
        <v>50</v>
      </c>
      <c r="K144" s="45">
        <v>-7636</v>
      </c>
      <c r="L144" s="45">
        <v>-7621</v>
      </c>
      <c r="M144" s="68" t="s">
        <v>50</v>
      </c>
      <c r="N144" s="45">
        <v>-7825</v>
      </c>
      <c r="O144" s="78">
        <v>-7989</v>
      </c>
    </row>
    <row r="145" spans="1:15" x14ac:dyDescent="0.25">
      <c r="A145" s="66" t="s">
        <v>51</v>
      </c>
      <c r="B145" s="70"/>
      <c r="C145" s="70"/>
      <c r="D145" s="67" t="s">
        <v>66</v>
      </c>
      <c r="E145" s="70"/>
      <c r="F145" s="70"/>
      <c r="G145" s="68" t="s">
        <v>84</v>
      </c>
      <c r="H145" s="71"/>
      <c r="I145" s="71"/>
      <c r="J145" s="68" t="s">
        <v>94</v>
      </c>
      <c r="K145" s="71"/>
      <c r="L145" s="71"/>
      <c r="M145" s="68" t="s">
        <v>110</v>
      </c>
      <c r="N145" s="71"/>
      <c r="O145" s="72"/>
    </row>
    <row r="146" spans="1:15" x14ac:dyDescent="0.25">
      <c r="A146" s="66" t="s">
        <v>13</v>
      </c>
      <c r="B146" s="76">
        <v>-199</v>
      </c>
      <c r="C146" s="76">
        <v>-231</v>
      </c>
      <c r="D146" s="67" t="s">
        <v>55</v>
      </c>
      <c r="E146" s="44"/>
      <c r="F146" s="44"/>
      <c r="G146" s="68" t="s">
        <v>82</v>
      </c>
      <c r="H146" s="45">
        <v>-313</v>
      </c>
      <c r="I146" s="45">
        <v>-373</v>
      </c>
      <c r="J146" s="68" t="s">
        <v>93</v>
      </c>
      <c r="K146" s="45">
        <v>-274</v>
      </c>
      <c r="L146" s="45">
        <v>-158</v>
      </c>
      <c r="M146" s="44"/>
      <c r="N146" s="45">
        <v>-198</v>
      </c>
      <c r="O146" s="78">
        <v>-236</v>
      </c>
    </row>
    <row r="147" spans="1:15" x14ac:dyDescent="0.25">
      <c r="A147" s="66" t="s">
        <v>52</v>
      </c>
      <c r="B147" s="76">
        <v>897</v>
      </c>
      <c r="C147" s="76">
        <v>-1396</v>
      </c>
      <c r="D147" s="67" t="s">
        <v>67</v>
      </c>
      <c r="E147" s="76">
        <v>-2131</v>
      </c>
      <c r="F147" s="76">
        <v>11643</v>
      </c>
      <c r="G147" s="68" t="s">
        <v>85</v>
      </c>
      <c r="H147" s="45">
        <v>8813</v>
      </c>
      <c r="I147" s="45">
        <v>10850</v>
      </c>
      <c r="J147" s="68" t="s">
        <v>85</v>
      </c>
      <c r="K147" s="45">
        <v>12287</v>
      </c>
      <c r="L147" s="45">
        <v>13910</v>
      </c>
      <c r="M147" s="68" t="s">
        <v>85</v>
      </c>
      <c r="N147" s="45">
        <v>13687</v>
      </c>
      <c r="O147" s="78">
        <v>15358</v>
      </c>
    </row>
    <row r="148" spans="1:15" ht="15.75" thickBot="1" x14ac:dyDescent="0.3">
      <c r="A148" s="84" t="s">
        <v>53</v>
      </c>
      <c r="B148" s="85">
        <v>43188</v>
      </c>
      <c r="C148" s="85">
        <v>43499</v>
      </c>
      <c r="D148" s="86" t="s">
        <v>68</v>
      </c>
      <c r="E148" s="85">
        <v>44550</v>
      </c>
      <c r="F148" s="85">
        <v>52252</v>
      </c>
      <c r="G148" s="87" t="s">
        <v>86</v>
      </c>
      <c r="H148" s="88">
        <v>54005</v>
      </c>
      <c r="I148" s="88">
        <v>53134</v>
      </c>
      <c r="J148" s="87" t="s">
        <v>86</v>
      </c>
      <c r="K148" s="88">
        <v>51261</v>
      </c>
      <c r="L148" s="88">
        <v>53292</v>
      </c>
      <c r="M148" s="87" t="s">
        <v>86</v>
      </c>
      <c r="N148" s="88">
        <v>60266</v>
      </c>
      <c r="O148" s="89">
        <v>64532</v>
      </c>
    </row>
  </sheetData>
  <mergeCells count="4">
    <mergeCell ref="B2:I2"/>
    <mergeCell ref="B3:I3"/>
    <mergeCell ref="B4:I4"/>
    <mergeCell ref="A79:O7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6E0D-FDC6-4B4D-AD26-7BB08F8F7856}">
  <dimension ref="A2:AE47"/>
  <sheetViews>
    <sheetView zoomScale="90" zoomScaleNormal="90" workbookViewId="0">
      <selection activeCell="O31" sqref="O31"/>
    </sheetView>
  </sheetViews>
  <sheetFormatPr defaultRowHeight="15" x14ac:dyDescent="0.25"/>
  <cols>
    <col min="1" max="1" width="47.28515625" bestFit="1" customWidth="1"/>
    <col min="2" max="11" width="9.5703125" bestFit="1" customWidth="1"/>
    <col min="12" max="13" width="9.140625" customWidth="1"/>
    <col min="14" max="14" width="9.85546875" customWidth="1"/>
    <col min="15" max="16" width="9.140625" customWidth="1"/>
    <col min="17" max="17" width="10.7109375" customWidth="1"/>
    <col min="18" max="22" width="9.140625" customWidth="1"/>
    <col min="23" max="23" width="47.28515625" customWidth="1"/>
    <col min="24" max="25" width="9.140625" customWidth="1"/>
    <col min="26" max="26" width="47.28515625" customWidth="1"/>
    <col min="27" max="28" width="9.140625" customWidth="1"/>
    <col min="29" max="29" width="47.28515625" customWidth="1"/>
    <col min="30" max="31" width="9.5703125" customWidth="1"/>
    <col min="32" max="32" width="47.28515625" bestFit="1" customWidth="1"/>
  </cols>
  <sheetData>
    <row r="2" spans="1:11" x14ac:dyDescent="0.25">
      <c r="A2" s="58" t="s">
        <v>137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</row>
    <row r="3" spans="1:11" x14ac:dyDescent="0.25">
      <c r="A3" s="95" t="s">
        <v>138</v>
      </c>
      <c r="B3" s="7"/>
      <c r="C3" s="7"/>
      <c r="D3" s="7"/>
      <c r="E3" s="7"/>
      <c r="F3" s="57"/>
      <c r="G3" s="57"/>
      <c r="H3" s="57"/>
      <c r="I3" s="57"/>
      <c r="J3" s="57"/>
      <c r="K3" s="57"/>
    </row>
    <row r="4" spans="1:11" x14ac:dyDescent="0.25">
      <c r="A4" s="96" t="s">
        <v>139</v>
      </c>
      <c r="B4" s="7"/>
      <c r="C4" s="7"/>
      <c r="D4" s="7"/>
      <c r="E4" s="7"/>
      <c r="F4" s="57"/>
      <c r="G4" s="57"/>
      <c r="H4" s="57"/>
      <c r="I4" s="57"/>
    </row>
    <row r="5" spans="1:11" x14ac:dyDescent="0.25">
      <c r="A5" s="96" t="s">
        <v>140</v>
      </c>
      <c r="B5" s="8">
        <v>21408</v>
      </c>
      <c r="C5" s="8">
        <v>23864</v>
      </c>
      <c r="D5" s="8">
        <v>25173</v>
      </c>
      <c r="E5" s="8">
        <v>26534</v>
      </c>
      <c r="F5" s="60">
        <v>28688</v>
      </c>
      <c r="G5" s="60">
        <v>28898</v>
      </c>
      <c r="H5" s="60">
        <v>28105</v>
      </c>
      <c r="I5" s="60">
        <v>29105</v>
      </c>
      <c r="J5" s="99"/>
      <c r="K5" s="99"/>
    </row>
    <row r="6" spans="1:11" x14ac:dyDescent="0.25">
      <c r="A6" s="96" t="s">
        <v>141</v>
      </c>
      <c r="B6" s="28">
        <v>5850</v>
      </c>
      <c r="C6" s="28">
        <v>6393</v>
      </c>
      <c r="D6" s="28">
        <v>6581</v>
      </c>
      <c r="E6" s="28">
        <v>6408</v>
      </c>
      <c r="F6" s="29">
        <v>6266</v>
      </c>
      <c r="G6" s="29">
        <v>5884</v>
      </c>
      <c r="H6" s="29">
        <v>5672</v>
      </c>
      <c r="I6" s="29">
        <v>5714</v>
      </c>
      <c r="J6" s="100"/>
      <c r="K6" s="100"/>
    </row>
    <row r="7" spans="1:11" x14ac:dyDescent="0.25">
      <c r="A7" s="101" t="s">
        <v>142</v>
      </c>
      <c r="B7" s="30">
        <v>27258</v>
      </c>
      <c r="C7" s="30">
        <v>30257</v>
      </c>
      <c r="D7" s="30">
        <v>31754</v>
      </c>
      <c r="E7" s="30">
        <v>32942</v>
      </c>
      <c r="F7" s="31">
        <v>34954</v>
      </c>
      <c r="G7" s="31">
        <v>34782</v>
      </c>
      <c r="H7" s="31">
        <v>33777</v>
      </c>
      <c r="I7" s="31">
        <v>34819</v>
      </c>
      <c r="J7" s="97">
        <v>39755</v>
      </c>
      <c r="K7" s="97">
        <v>42277</v>
      </c>
    </row>
    <row r="8" spans="1:11" x14ac:dyDescent="0.25">
      <c r="A8" s="96" t="s">
        <v>143</v>
      </c>
      <c r="B8" s="9">
        <v>850</v>
      </c>
      <c r="C8" s="9">
        <v>1027</v>
      </c>
      <c r="D8" s="9">
        <v>990</v>
      </c>
      <c r="E8" s="9">
        <v>937</v>
      </c>
      <c r="F8" s="59">
        <v>934</v>
      </c>
      <c r="G8" s="59">
        <v>813</v>
      </c>
      <c r="H8" s="59">
        <v>668</v>
      </c>
      <c r="I8" s="59">
        <v>729</v>
      </c>
      <c r="J8" s="59">
        <v>865</v>
      </c>
      <c r="K8" s="59">
        <v>753</v>
      </c>
    </row>
    <row r="9" spans="1:11" ht="15.75" thickBot="1" x14ac:dyDescent="0.3">
      <c r="A9" s="96" t="s">
        <v>144</v>
      </c>
      <c r="B9" s="98">
        <v>3647</v>
      </c>
      <c r="C9" s="98">
        <v>3831</v>
      </c>
      <c r="D9" s="98">
        <v>3926</v>
      </c>
      <c r="E9" s="98">
        <v>3894</v>
      </c>
      <c r="F9" s="32">
        <v>4474</v>
      </c>
      <c r="G9" s="32">
        <v>5109</v>
      </c>
      <c r="H9" s="32">
        <v>5194</v>
      </c>
      <c r="I9" s="32">
        <v>5696</v>
      </c>
      <c r="J9" s="32">
        <v>3818</v>
      </c>
      <c r="K9" s="32">
        <v>3977</v>
      </c>
    </row>
    <row r="10" spans="1:11" x14ac:dyDescent="0.25">
      <c r="A10" s="101" t="s">
        <v>145</v>
      </c>
      <c r="B10" s="9">
        <v>31755</v>
      </c>
      <c r="C10" s="9">
        <v>35115</v>
      </c>
      <c r="D10" s="9">
        <v>36670</v>
      </c>
      <c r="E10" s="9">
        <v>37773</v>
      </c>
      <c r="F10" s="59">
        <v>40362</v>
      </c>
      <c r="G10" s="59">
        <v>40704</v>
      </c>
      <c r="H10" s="59">
        <v>39639</v>
      </c>
      <c r="I10" s="59">
        <v>41244</v>
      </c>
      <c r="J10" s="59">
        <v>44438</v>
      </c>
      <c r="K10" s="59">
        <v>47007</v>
      </c>
    </row>
    <row r="11" spans="1:11" x14ac:dyDescent="0.25">
      <c r="B11" s="7"/>
      <c r="C11" s="7"/>
      <c r="D11" s="7"/>
      <c r="E11" s="7"/>
    </row>
    <row r="12" spans="1:11" x14ac:dyDescent="0.25">
      <c r="A12" s="95" t="s">
        <v>146</v>
      </c>
      <c r="B12" s="7"/>
      <c r="C12" s="7"/>
      <c r="D12" s="7"/>
      <c r="E12" s="7"/>
      <c r="F12" s="57"/>
      <c r="G12" s="57"/>
      <c r="H12" s="57"/>
      <c r="I12" s="57"/>
      <c r="J12" s="57"/>
      <c r="K12" s="57"/>
    </row>
    <row r="13" spans="1:11" x14ac:dyDescent="0.25">
      <c r="A13" s="96" t="s">
        <v>147</v>
      </c>
      <c r="B13" s="9">
        <v>7594</v>
      </c>
      <c r="C13" s="9">
        <v>9730</v>
      </c>
      <c r="D13" s="9">
        <v>10150</v>
      </c>
      <c r="E13" s="9">
        <v>9397</v>
      </c>
      <c r="F13" s="59">
        <v>11668</v>
      </c>
      <c r="G13" s="59">
        <v>6544</v>
      </c>
      <c r="H13" s="59">
        <v>5133</v>
      </c>
      <c r="I13" s="59">
        <v>5733</v>
      </c>
      <c r="J13" s="59">
        <v>9020</v>
      </c>
      <c r="K13" s="59">
        <v>8519</v>
      </c>
    </row>
    <row r="14" spans="1:11" x14ac:dyDescent="0.25">
      <c r="A14" s="96" t="s">
        <v>148</v>
      </c>
      <c r="B14" s="9">
        <v>6751</v>
      </c>
      <c r="C14" s="9">
        <v>6894</v>
      </c>
      <c r="D14" s="9">
        <v>7266</v>
      </c>
      <c r="E14" s="9">
        <v>7720</v>
      </c>
      <c r="F14" s="59">
        <v>8120</v>
      </c>
      <c r="G14" s="59">
        <v>8776</v>
      </c>
      <c r="H14" s="59">
        <v>10034</v>
      </c>
      <c r="I14" s="59">
        <v>10436</v>
      </c>
      <c r="J14" s="59">
        <v>10743</v>
      </c>
      <c r="K14" s="59">
        <v>11225</v>
      </c>
    </row>
    <row r="15" spans="1:11" x14ac:dyDescent="0.25">
      <c r="A15" s="96" t="s">
        <v>177</v>
      </c>
      <c r="B15" s="9">
        <v>4305</v>
      </c>
      <c r="C15" s="9">
        <v>5470</v>
      </c>
      <c r="D15" s="9">
        <v>5647</v>
      </c>
      <c r="E15" s="9">
        <v>5669</v>
      </c>
      <c r="F15" s="59">
        <v>5237</v>
      </c>
      <c r="G15" s="59">
        <v>4241</v>
      </c>
      <c r="H15" s="59">
        <v>4311</v>
      </c>
      <c r="I15" s="59">
        <v>4503</v>
      </c>
      <c r="J15" s="59">
        <v>3438</v>
      </c>
      <c r="K15" s="59">
        <v>3584</v>
      </c>
    </row>
    <row r="16" spans="1:11" x14ac:dyDescent="0.25">
      <c r="A16" s="96" t="s">
        <v>150</v>
      </c>
      <c r="B16" s="9">
        <v>1569</v>
      </c>
      <c r="C16" s="9">
        <v>1765</v>
      </c>
      <c r="D16" s="9">
        <v>1955</v>
      </c>
      <c r="E16" s="9">
        <v>1852</v>
      </c>
      <c r="F16" s="59">
        <v>1828</v>
      </c>
      <c r="G16" s="59">
        <v>1848</v>
      </c>
      <c r="H16" s="59">
        <v>1823</v>
      </c>
      <c r="I16" s="59">
        <v>1992</v>
      </c>
      <c r="J16" s="59">
        <v>1575</v>
      </c>
      <c r="K16" s="59">
        <v>1751</v>
      </c>
    </row>
    <row r="17" spans="1:11" x14ac:dyDescent="0.25">
      <c r="A17" s="96" t="s">
        <v>151</v>
      </c>
      <c r="B17" s="9">
        <v>1509</v>
      </c>
      <c r="C17" s="9">
        <v>1682</v>
      </c>
      <c r="D17" s="9">
        <v>1590</v>
      </c>
      <c r="E17" s="9">
        <v>1603</v>
      </c>
      <c r="F17" s="59">
        <v>1700</v>
      </c>
      <c r="G17" s="59">
        <v>1672</v>
      </c>
      <c r="H17" s="59">
        <v>1710</v>
      </c>
      <c r="I17" s="59">
        <v>1787</v>
      </c>
      <c r="J17" s="59">
        <v>1941</v>
      </c>
      <c r="K17" s="59">
        <v>1993</v>
      </c>
    </row>
    <row r="18" spans="1:11" x14ac:dyDescent="0.25">
      <c r="A18" s="96" t="s">
        <v>152</v>
      </c>
      <c r="B18" s="9">
        <v>1549</v>
      </c>
      <c r="C18" s="9">
        <v>1642</v>
      </c>
      <c r="D18" s="9">
        <v>1566</v>
      </c>
      <c r="E18" s="9">
        <v>1665</v>
      </c>
      <c r="F18" s="59">
        <v>1749</v>
      </c>
      <c r="G18" s="59">
        <v>1848</v>
      </c>
      <c r="H18" s="59">
        <v>1991</v>
      </c>
      <c r="I18" s="59">
        <v>2184</v>
      </c>
      <c r="J18" s="59">
        <v>2175</v>
      </c>
      <c r="K18" s="59">
        <v>2641</v>
      </c>
    </row>
    <row r="19" spans="1:11" x14ac:dyDescent="0.25">
      <c r="A19" s="96" t="s">
        <v>153</v>
      </c>
      <c r="B19" s="9">
        <v>1511</v>
      </c>
      <c r="C19" s="9">
        <v>1523</v>
      </c>
      <c r="D19" s="9">
        <v>1565</v>
      </c>
      <c r="E19" s="9">
        <v>1658</v>
      </c>
      <c r="F19" s="59">
        <v>1771</v>
      </c>
      <c r="G19" s="59">
        <v>1835</v>
      </c>
      <c r="H19" s="59">
        <v>1902</v>
      </c>
      <c r="I19" s="59">
        <v>2235</v>
      </c>
      <c r="J19" s="59">
        <v>2329</v>
      </c>
      <c r="K19" s="59">
        <v>2581</v>
      </c>
    </row>
    <row r="20" spans="1:11" x14ac:dyDescent="0.25">
      <c r="A20" s="96" t="s">
        <v>154</v>
      </c>
      <c r="B20" s="9">
        <v>1281</v>
      </c>
      <c r="C20" s="9">
        <v>1281</v>
      </c>
      <c r="D20" s="9">
        <v>1336</v>
      </c>
      <c r="E20" s="9">
        <v>1410</v>
      </c>
      <c r="F20" s="59">
        <v>1442</v>
      </c>
      <c r="G20" s="59">
        <v>1493</v>
      </c>
      <c r="H20" s="59">
        <v>1490</v>
      </c>
      <c r="I20" s="59">
        <v>1528</v>
      </c>
      <c r="J20" s="59">
        <v>1662</v>
      </c>
      <c r="K20" s="59">
        <v>1762</v>
      </c>
    </row>
    <row r="21" spans="1:11" x14ac:dyDescent="0.25">
      <c r="A21" s="96" t="s">
        <v>155</v>
      </c>
      <c r="B21" s="9">
        <v>673</v>
      </c>
      <c r="C21" s="9">
        <v>721</v>
      </c>
      <c r="D21" s="9">
        <v>732</v>
      </c>
      <c r="E21" s="9">
        <v>762</v>
      </c>
      <c r="F21" s="59">
        <v>810</v>
      </c>
      <c r="G21" s="59">
        <v>872</v>
      </c>
      <c r="H21" s="59">
        <v>907</v>
      </c>
      <c r="I21" s="59">
        <v>1067</v>
      </c>
      <c r="J21" s="59">
        <v>1178</v>
      </c>
      <c r="K21" s="59">
        <v>1251</v>
      </c>
    </row>
    <row r="22" spans="1:11" x14ac:dyDescent="0.25">
      <c r="A22" s="96" t="s">
        <v>156</v>
      </c>
      <c r="B22" s="9">
        <v>387</v>
      </c>
      <c r="C22" s="9">
        <v>298</v>
      </c>
      <c r="D22" s="9">
        <v>272</v>
      </c>
      <c r="E22" s="9">
        <v>209</v>
      </c>
      <c r="F22" s="59">
        <v>233</v>
      </c>
      <c r="G22" s="59">
        <v>250</v>
      </c>
      <c r="H22" s="59">
        <v>285</v>
      </c>
      <c r="I22" s="59">
        <v>351</v>
      </c>
      <c r="J22" s="59">
        <v>394</v>
      </c>
      <c r="K22" s="59">
        <v>423</v>
      </c>
    </row>
    <row r="23" spans="1:11" x14ac:dyDescent="0.25">
      <c r="A23" s="96" t="s">
        <v>157</v>
      </c>
      <c r="B23" s="9">
        <v>313</v>
      </c>
      <c r="C23" s="9">
        <v>264</v>
      </c>
      <c r="D23" s="9">
        <v>372</v>
      </c>
      <c r="E23" s="9">
        <v>506</v>
      </c>
      <c r="F23" s="59">
        <v>1085</v>
      </c>
      <c r="G23" s="59">
        <v>1490</v>
      </c>
      <c r="H23" s="59">
        <v>1115</v>
      </c>
      <c r="I23" s="59">
        <v>1065</v>
      </c>
      <c r="J23" s="59">
        <v>1301</v>
      </c>
      <c r="K23" s="59">
        <v>1643</v>
      </c>
    </row>
    <row r="24" spans="1:11" x14ac:dyDescent="0.25">
      <c r="A24" s="19" t="s">
        <v>158</v>
      </c>
      <c r="B24" s="9">
        <v>450</v>
      </c>
      <c r="C24" s="9">
        <v>242</v>
      </c>
      <c r="D24" s="9">
        <v>452</v>
      </c>
      <c r="E24" s="9">
        <v>402</v>
      </c>
      <c r="F24" s="59">
        <v>716</v>
      </c>
      <c r="G24" s="59">
        <v>35</v>
      </c>
    </row>
    <row r="25" spans="1:11" x14ac:dyDescent="0.25">
      <c r="A25" s="96" t="s">
        <v>184</v>
      </c>
      <c r="J25" s="59">
        <v>1695</v>
      </c>
      <c r="K25" s="59">
        <v>1245</v>
      </c>
    </row>
    <row r="26" spans="1:11" x14ac:dyDescent="0.25">
      <c r="A26" s="96" t="s">
        <v>144</v>
      </c>
      <c r="B26" s="9">
        <v>1646</v>
      </c>
      <c r="C26" s="9">
        <v>1628</v>
      </c>
      <c r="D26" s="9">
        <v>1592</v>
      </c>
      <c r="E26" s="9">
        <v>1520</v>
      </c>
      <c r="F26" s="59">
        <v>1797</v>
      </c>
      <c r="G26" s="59">
        <v>1998</v>
      </c>
      <c r="H26" s="59">
        <v>1986</v>
      </c>
      <c r="I26" s="59">
        <v>2249</v>
      </c>
      <c r="J26" s="59">
        <v>1723</v>
      </c>
      <c r="K26" s="59">
        <v>1771</v>
      </c>
    </row>
    <row r="27" spans="1:11" x14ac:dyDescent="0.25">
      <c r="A27" s="101" t="s">
        <v>159</v>
      </c>
      <c r="B27" s="9">
        <v>29538</v>
      </c>
      <c r="C27" s="9">
        <v>33140</v>
      </c>
      <c r="D27" s="9">
        <v>34495</v>
      </c>
      <c r="E27" s="9">
        <v>34373</v>
      </c>
      <c r="F27" s="59">
        <v>38156</v>
      </c>
      <c r="G27" s="59">
        <v>32902</v>
      </c>
      <c r="H27" s="59">
        <v>32687</v>
      </c>
      <c r="I27" s="59">
        <v>35130</v>
      </c>
      <c r="J27" s="59">
        <v>39174</v>
      </c>
      <c r="K27" s="59">
        <v>40389</v>
      </c>
    </row>
    <row r="28" spans="1:11" x14ac:dyDescent="0.25">
      <c r="B28" s="7"/>
      <c r="C28" s="7"/>
    </row>
    <row r="29" spans="1:11" x14ac:dyDescent="0.25">
      <c r="A29" s="95" t="s">
        <v>160</v>
      </c>
      <c r="B29" s="9">
        <v>2217</v>
      </c>
      <c r="C29" s="9">
        <v>1975</v>
      </c>
      <c r="D29" s="9">
        <v>2175</v>
      </c>
      <c r="E29" s="9">
        <v>3400</v>
      </c>
      <c r="F29" s="59">
        <v>2206</v>
      </c>
      <c r="G29" s="59">
        <v>7802</v>
      </c>
      <c r="H29" s="59">
        <v>6952</v>
      </c>
      <c r="I29" s="59">
        <v>6114</v>
      </c>
      <c r="J29" s="59">
        <v>5264</v>
      </c>
      <c r="K29" s="59">
        <v>6618</v>
      </c>
    </row>
    <row r="30" spans="1:11" x14ac:dyDescent="0.25">
      <c r="B30" s="7"/>
      <c r="C30" s="7"/>
      <c r="D30" s="7"/>
      <c r="E30" s="7"/>
    </row>
    <row r="31" spans="1:11" x14ac:dyDescent="0.25">
      <c r="A31" s="95" t="s">
        <v>179</v>
      </c>
      <c r="B31" s="7"/>
      <c r="C31" s="7"/>
      <c r="D31" s="7"/>
      <c r="E31" s="7"/>
      <c r="F31" s="57"/>
      <c r="G31" s="57"/>
      <c r="H31" s="57"/>
      <c r="I31" s="57"/>
      <c r="J31" s="57"/>
      <c r="K31" s="57"/>
    </row>
    <row r="32" spans="1:11" x14ac:dyDescent="0.25">
      <c r="A32" s="96" t="s">
        <v>161</v>
      </c>
      <c r="B32" s="9">
        <v>-969</v>
      </c>
      <c r="C32" s="9">
        <v>-901</v>
      </c>
      <c r="D32" s="9">
        <v>-812</v>
      </c>
      <c r="E32" s="9">
        <v>-698</v>
      </c>
      <c r="F32" s="59">
        <v>-650</v>
      </c>
      <c r="G32" s="59">
        <v>-481</v>
      </c>
      <c r="H32" s="59">
        <v>-388</v>
      </c>
      <c r="I32" s="59">
        <v>-396</v>
      </c>
      <c r="J32" s="59">
        <v>-311</v>
      </c>
      <c r="K32" s="59">
        <v>-301</v>
      </c>
    </row>
    <row r="33" spans="1:11" x14ac:dyDescent="0.25">
      <c r="A33" s="19" t="s">
        <v>162</v>
      </c>
      <c r="B33" s="9">
        <v>-216</v>
      </c>
      <c r="C33" s="9">
        <v>-193</v>
      </c>
      <c r="D33" s="9">
        <v>-193</v>
      </c>
      <c r="E33" s="9">
        <v>-154</v>
      </c>
    </row>
    <row r="34" spans="1:11" x14ac:dyDescent="0.25">
      <c r="A34" s="96" t="s">
        <v>185</v>
      </c>
      <c r="J34" s="59">
        <v>38</v>
      </c>
      <c r="K34" s="59">
        <v>119</v>
      </c>
    </row>
    <row r="35" spans="1:11" x14ac:dyDescent="0.25">
      <c r="A35" s="19" t="s">
        <v>163</v>
      </c>
      <c r="B35" s="9">
        <v>-391</v>
      </c>
      <c r="C35" s="9">
        <v>-68</v>
      </c>
      <c r="D35" s="9">
        <v>-118</v>
      </c>
      <c r="E35" s="10">
        <v>0</v>
      </c>
    </row>
    <row r="36" spans="1:11" x14ac:dyDescent="0.25">
      <c r="A36" s="96" t="s">
        <v>164</v>
      </c>
      <c r="B36" s="9">
        <v>-33</v>
      </c>
      <c r="C36" s="9">
        <v>-44</v>
      </c>
      <c r="D36" s="9">
        <v>-27</v>
      </c>
      <c r="E36" s="9">
        <v>-21</v>
      </c>
      <c r="F36" s="59">
        <v>-484</v>
      </c>
      <c r="G36" s="59">
        <v>-164</v>
      </c>
      <c r="H36" s="59">
        <v>72</v>
      </c>
      <c r="I36" s="59">
        <v>-17</v>
      </c>
      <c r="J36" s="59">
        <v>160</v>
      </c>
      <c r="K36" s="59">
        <v>-238</v>
      </c>
    </row>
    <row r="37" spans="1:11" x14ac:dyDescent="0.25">
      <c r="A37" s="101" t="s">
        <v>180</v>
      </c>
      <c r="B37" s="9">
        <v>-1609</v>
      </c>
      <c r="C37" s="9">
        <v>-1206</v>
      </c>
      <c r="D37" s="9">
        <v>-1150</v>
      </c>
      <c r="E37" s="9">
        <v>-873</v>
      </c>
      <c r="F37" s="59">
        <v>-1134</v>
      </c>
      <c r="G37" s="59">
        <v>-645</v>
      </c>
      <c r="H37" s="59">
        <v>-316</v>
      </c>
      <c r="I37" s="59">
        <v>-413</v>
      </c>
      <c r="J37" s="59">
        <v>-113</v>
      </c>
      <c r="K37" s="59">
        <v>-420</v>
      </c>
    </row>
    <row r="38" spans="1:11" x14ac:dyDescent="0.25">
      <c r="B38" s="7"/>
      <c r="C38" s="7"/>
      <c r="D38" s="7"/>
      <c r="E38" s="7"/>
    </row>
    <row r="39" spans="1:11" x14ac:dyDescent="0.25">
      <c r="A39" s="95" t="s">
        <v>165</v>
      </c>
      <c r="B39" s="9">
        <v>608</v>
      </c>
      <c r="C39" s="9">
        <v>769</v>
      </c>
      <c r="D39" s="9">
        <v>1025</v>
      </c>
      <c r="E39" s="9">
        <v>2527</v>
      </c>
      <c r="F39" s="59">
        <v>1072</v>
      </c>
      <c r="G39" s="59">
        <v>7157</v>
      </c>
      <c r="H39" s="59">
        <v>6636</v>
      </c>
      <c r="I39" s="59">
        <v>5701</v>
      </c>
      <c r="J39" s="59">
        <v>5151</v>
      </c>
      <c r="K39" s="59">
        <v>6198</v>
      </c>
    </row>
    <row r="40" spans="1:11" x14ac:dyDescent="0.25">
      <c r="B40" s="7"/>
      <c r="C40" s="7"/>
      <c r="D40" s="7"/>
      <c r="E40" s="7"/>
    </row>
    <row r="41" spans="1:11" x14ac:dyDescent="0.25">
      <c r="A41" s="95" t="s">
        <v>181</v>
      </c>
      <c r="B41" s="9">
        <v>-15</v>
      </c>
      <c r="C41" s="9">
        <v>85</v>
      </c>
      <c r="D41" s="9">
        <v>-16</v>
      </c>
      <c r="E41" s="9">
        <v>8013</v>
      </c>
      <c r="F41" s="59">
        <v>-413</v>
      </c>
      <c r="G41" s="59">
        <v>-2631</v>
      </c>
      <c r="H41" s="59">
        <v>-2263</v>
      </c>
      <c r="I41" s="59">
        <v>-2124</v>
      </c>
      <c r="J41" s="59">
        <v>-1216</v>
      </c>
      <c r="K41" s="59">
        <v>-1431</v>
      </c>
    </row>
    <row r="42" spans="1:11" x14ac:dyDescent="0.25">
      <c r="B42" s="7"/>
      <c r="C42" s="7"/>
      <c r="D42" s="7"/>
      <c r="E42" s="7"/>
    </row>
    <row r="43" spans="1:11" x14ac:dyDescent="0.25">
      <c r="A43" s="95" t="s">
        <v>167</v>
      </c>
      <c r="B43" s="8">
        <v>593</v>
      </c>
      <c r="C43" s="8">
        <v>854</v>
      </c>
      <c r="D43" s="8">
        <v>1009</v>
      </c>
      <c r="E43" s="8">
        <v>10540</v>
      </c>
      <c r="F43" s="60">
        <v>659</v>
      </c>
      <c r="G43" s="60">
        <v>4526</v>
      </c>
      <c r="H43" s="60">
        <v>4373</v>
      </c>
      <c r="I43" s="60">
        <v>3577</v>
      </c>
      <c r="J43" s="60">
        <v>3935</v>
      </c>
      <c r="K43" s="60">
        <v>4767</v>
      </c>
    </row>
    <row r="44" spans="1:11" x14ac:dyDescent="0.25">
      <c r="B44" s="7"/>
      <c r="C44" s="7"/>
      <c r="D44" s="7"/>
      <c r="E44" s="7"/>
    </row>
    <row r="45" spans="1:11" x14ac:dyDescent="0.25">
      <c r="A45" s="95" t="s">
        <v>168</v>
      </c>
      <c r="B45" s="22">
        <v>0.71</v>
      </c>
      <c r="C45" s="22">
        <v>1.02</v>
      </c>
      <c r="D45" s="22">
        <v>1.2</v>
      </c>
      <c r="E45" s="22">
        <v>12.41</v>
      </c>
      <c r="F45" s="61">
        <v>0.79</v>
      </c>
      <c r="G45" s="61">
        <v>5.68</v>
      </c>
      <c r="H45" s="61">
        <v>5.82</v>
      </c>
      <c r="I45" s="61">
        <v>4.97</v>
      </c>
      <c r="J45" s="61">
        <v>5.69</v>
      </c>
      <c r="K45" s="61">
        <v>7.32</v>
      </c>
    </row>
    <row r="46" spans="1:11" x14ac:dyDescent="0.25">
      <c r="A46" s="95" t="s">
        <v>169</v>
      </c>
      <c r="B46" s="22">
        <v>0.7</v>
      </c>
      <c r="C46" s="22">
        <v>1.01</v>
      </c>
      <c r="D46" s="22">
        <v>1.19</v>
      </c>
      <c r="E46" s="22">
        <v>12.29</v>
      </c>
      <c r="F46" s="61">
        <v>0.78</v>
      </c>
      <c r="G46" s="61">
        <v>5.63</v>
      </c>
      <c r="H46" s="61">
        <v>5.79</v>
      </c>
      <c r="I46" s="61">
        <v>4.95</v>
      </c>
      <c r="J46" s="61">
        <v>5.67</v>
      </c>
      <c r="K46" s="61">
        <v>7.3</v>
      </c>
    </row>
    <row r="47" spans="1:11" x14ac:dyDescent="0.25">
      <c r="A47" s="95" t="s">
        <v>176</v>
      </c>
      <c r="J47" s="61">
        <v>1.31</v>
      </c>
      <c r="K47" s="61">
        <v>1.51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7517-A39D-487C-B8C2-C56472033A48}">
  <dimension ref="B2:P47"/>
  <sheetViews>
    <sheetView workbookViewId="0">
      <selection activeCell="E23" sqref="E23"/>
    </sheetView>
  </sheetViews>
  <sheetFormatPr defaultRowHeight="15" x14ac:dyDescent="0.25"/>
  <cols>
    <col min="2" max="2" width="45.28515625" bestFit="1" customWidth="1"/>
    <col min="5" max="5" width="45.28515625" bestFit="1" customWidth="1"/>
    <col min="8" max="8" width="45.28515625" bestFit="1" customWidth="1"/>
    <col min="11" max="11" width="45.28515625" bestFit="1" customWidth="1"/>
    <col min="14" max="14" width="45.28515625" bestFit="1" customWidth="1"/>
  </cols>
  <sheetData>
    <row r="2" spans="2:16" x14ac:dyDescent="0.25">
      <c r="B2" s="6" t="s">
        <v>137</v>
      </c>
      <c r="C2" s="6">
        <v>2010</v>
      </c>
      <c r="D2" s="6">
        <v>2011</v>
      </c>
      <c r="E2" s="6" t="s">
        <v>137</v>
      </c>
      <c r="F2" s="6">
        <v>2012</v>
      </c>
      <c r="G2" s="6">
        <v>2013</v>
      </c>
      <c r="H2" s="48" t="s">
        <v>137</v>
      </c>
      <c r="I2" s="48">
        <v>2014</v>
      </c>
      <c r="J2" s="48">
        <v>2015</v>
      </c>
      <c r="K2" s="62" t="s">
        <v>137</v>
      </c>
      <c r="L2" s="53">
        <v>2016</v>
      </c>
      <c r="M2" s="53">
        <v>2017</v>
      </c>
      <c r="N2" s="58" t="s">
        <v>137</v>
      </c>
      <c r="O2" s="58">
        <v>2018</v>
      </c>
      <c r="P2" s="58">
        <v>2019</v>
      </c>
    </row>
    <row r="3" spans="2:16" x14ac:dyDescent="0.25">
      <c r="B3" s="6" t="s">
        <v>138</v>
      </c>
      <c r="C3" s="7"/>
      <c r="D3" s="7"/>
      <c r="E3" s="6" t="s">
        <v>138</v>
      </c>
      <c r="F3" s="7"/>
      <c r="G3" s="7"/>
      <c r="H3" s="48" t="s">
        <v>138</v>
      </c>
      <c r="I3" s="47"/>
      <c r="J3" s="47"/>
      <c r="K3" s="62" t="s">
        <v>138</v>
      </c>
      <c r="L3" s="52"/>
      <c r="M3" s="52"/>
      <c r="N3" s="58" t="s">
        <v>138</v>
      </c>
      <c r="O3" s="57"/>
      <c r="P3" s="57"/>
    </row>
    <row r="4" spans="2:16" x14ac:dyDescent="0.25">
      <c r="B4" s="6" t="s">
        <v>139</v>
      </c>
      <c r="C4" s="7"/>
      <c r="D4" s="7"/>
      <c r="E4" s="6" t="s">
        <v>139</v>
      </c>
      <c r="F4" s="7"/>
      <c r="G4" s="7"/>
      <c r="H4" s="48" t="s">
        <v>139</v>
      </c>
      <c r="I4" s="47"/>
      <c r="J4" s="47"/>
      <c r="K4" s="62" t="s">
        <v>139</v>
      </c>
      <c r="L4" s="52"/>
      <c r="M4" s="52"/>
      <c r="N4" s="58" t="s">
        <v>139</v>
      </c>
    </row>
    <row r="5" spans="2:16" x14ac:dyDescent="0.25">
      <c r="B5" s="6" t="s">
        <v>140</v>
      </c>
      <c r="C5" s="8">
        <v>21408</v>
      </c>
      <c r="D5" s="8">
        <v>23864</v>
      </c>
      <c r="E5" s="6" t="s">
        <v>140</v>
      </c>
      <c r="F5" s="8">
        <v>25173</v>
      </c>
      <c r="G5" s="8">
        <v>26534</v>
      </c>
      <c r="H5" s="48" t="s">
        <v>140</v>
      </c>
      <c r="I5" s="50">
        <v>28688</v>
      </c>
      <c r="J5" s="50">
        <v>28898</v>
      </c>
      <c r="K5" s="62" t="s">
        <v>140</v>
      </c>
      <c r="L5" s="55">
        <v>28105</v>
      </c>
      <c r="M5" s="55">
        <v>29105</v>
      </c>
    </row>
    <row r="6" spans="2:16" x14ac:dyDescent="0.25">
      <c r="B6" s="6" t="s">
        <v>141</v>
      </c>
      <c r="C6" s="9">
        <v>5850</v>
      </c>
      <c r="D6" s="9">
        <v>6393</v>
      </c>
      <c r="E6" s="6" t="s">
        <v>141</v>
      </c>
      <c r="F6" s="9">
        <v>6581</v>
      </c>
      <c r="G6" s="9">
        <v>6408</v>
      </c>
      <c r="H6" s="48" t="s">
        <v>141</v>
      </c>
      <c r="I6" s="49">
        <v>6266</v>
      </c>
      <c r="J6" s="49">
        <v>5884</v>
      </c>
      <c r="K6" s="62" t="s">
        <v>141</v>
      </c>
      <c r="L6" s="54">
        <v>5672</v>
      </c>
      <c r="M6" s="54">
        <v>5714</v>
      </c>
    </row>
    <row r="7" spans="2:16" x14ac:dyDescent="0.25">
      <c r="B7" s="6" t="s">
        <v>142</v>
      </c>
      <c r="C7" s="9">
        <v>27258</v>
      </c>
      <c r="D7" s="9">
        <v>30257</v>
      </c>
      <c r="E7" s="6" t="s">
        <v>142</v>
      </c>
      <c r="F7" s="9">
        <v>31754</v>
      </c>
      <c r="G7" s="9">
        <v>32942</v>
      </c>
      <c r="H7" s="48" t="s">
        <v>142</v>
      </c>
      <c r="I7" s="49">
        <v>34954</v>
      </c>
      <c r="J7" s="49">
        <v>34782</v>
      </c>
      <c r="K7" s="62" t="s">
        <v>142</v>
      </c>
      <c r="L7" s="54">
        <v>33777</v>
      </c>
      <c r="M7" s="54">
        <v>34819</v>
      </c>
      <c r="N7" s="16" t="s">
        <v>142</v>
      </c>
      <c r="O7" s="60">
        <v>39755</v>
      </c>
      <c r="P7" s="60">
        <v>42277</v>
      </c>
    </row>
    <row r="8" spans="2:16" x14ac:dyDescent="0.25">
      <c r="B8" s="6" t="s">
        <v>143</v>
      </c>
      <c r="C8" s="9">
        <v>850</v>
      </c>
      <c r="D8" s="9">
        <v>1027</v>
      </c>
      <c r="E8" s="6" t="s">
        <v>143</v>
      </c>
      <c r="F8" s="9">
        <v>990</v>
      </c>
      <c r="G8" s="9">
        <v>937</v>
      </c>
      <c r="H8" s="48" t="s">
        <v>143</v>
      </c>
      <c r="I8" s="49">
        <v>934</v>
      </c>
      <c r="J8" s="49">
        <v>813</v>
      </c>
      <c r="K8" s="62" t="s">
        <v>143</v>
      </c>
      <c r="L8" s="54">
        <v>668</v>
      </c>
      <c r="M8" s="54">
        <v>729</v>
      </c>
      <c r="N8" s="58" t="s">
        <v>143</v>
      </c>
      <c r="O8" s="59">
        <v>865</v>
      </c>
      <c r="P8" s="59">
        <v>753</v>
      </c>
    </row>
    <row r="9" spans="2:16" x14ac:dyDescent="0.25">
      <c r="B9" s="6" t="s">
        <v>144</v>
      </c>
      <c r="C9" s="9">
        <v>3647</v>
      </c>
      <c r="D9" s="9">
        <v>3831</v>
      </c>
      <c r="E9" s="6" t="s">
        <v>144</v>
      </c>
      <c r="F9" s="9">
        <v>3926</v>
      </c>
      <c r="G9" s="9">
        <v>3894</v>
      </c>
      <c r="H9" s="48" t="s">
        <v>144</v>
      </c>
      <c r="I9" s="49">
        <v>4474</v>
      </c>
      <c r="J9" s="49">
        <v>5109</v>
      </c>
      <c r="K9" s="62" t="s">
        <v>144</v>
      </c>
      <c r="L9" s="54">
        <v>5194</v>
      </c>
      <c r="M9" s="54">
        <v>5696</v>
      </c>
      <c r="N9" s="58" t="s">
        <v>144</v>
      </c>
      <c r="O9" s="59">
        <v>3818</v>
      </c>
      <c r="P9" s="59">
        <v>3977</v>
      </c>
    </row>
    <row r="10" spans="2:16" x14ac:dyDescent="0.25">
      <c r="B10" s="6" t="s">
        <v>145</v>
      </c>
      <c r="C10" s="9">
        <v>31755</v>
      </c>
      <c r="D10" s="9">
        <v>35115</v>
      </c>
      <c r="E10" s="6" t="s">
        <v>145</v>
      </c>
      <c r="F10" s="9">
        <v>36670</v>
      </c>
      <c r="G10" s="9">
        <v>37773</v>
      </c>
      <c r="H10" s="48" t="s">
        <v>145</v>
      </c>
      <c r="I10" s="49">
        <v>40362</v>
      </c>
      <c r="J10" s="49">
        <v>40704</v>
      </c>
      <c r="K10" s="62" t="s">
        <v>145</v>
      </c>
      <c r="L10" s="54">
        <v>39639</v>
      </c>
      <c r="M10" s="54">
        <v>41244</v>
      </c>
      <c r="N10" s="58" t="s">
        <v>145</v>
      </c>
      <c r="O10" s="59">
        <v>44438</v>
      </c>
      <c r="P10" s="59">
        <v>47007</v>
      </c>
    </row>
    <row r="11" spans="2:16" x14ac:dyDescent="0.25">
      <c r="B11" s="7"/>
      <c r="C11" s="7"/>
      <c r="D11" s="7"/>
      <c r="E11" s="7"/>
      <c r="F11" s="7"/>
      <c r="G11" s="7"/>
      <c r="K11" s="18"/>
    </row>
    <row r="12" spans="2:16" x14ac:dyDescent="0.25">
      <c r="B12" s="6" t="s">
        <v>146</v>
      </c>
      <c r="C12" s="7"/>
      <c r="D12" s="7"/>
      <c r="E12" s="6" t="s">
        <v>146</v>
      </c>
      <c r="F12" s="7"/>
      <c r="G12" s="7"/>
      <c r="H12" s="48" t="s">
        <v>146</v>
      </c>
      <c r="I12" s="47"/>
      <c r="J12" s="47"/>
      <c r="K12" s="62" t="s">
        <v>146</v>
      </c>
      <c r="L12" s="52"/>
      <c r="M12" s="52"/>
      <c r="N12" s="58" t="s">
        <v>146</v>
      </c>
      <c r="O12" s="57"/>
      <c r="P12" s="57"/>
    </row>
    <row r="13" spans="2:16" x14ac:dyDescent="0.25">
      <c r="B13" s="6" t="s">
        <v>147</v>
      </c>
      <c r="C13" s="9">
        <v>7594</v>
      </c>
      <c r="D13" s="9">
        <v>9730</v>
      </c>
      <c r="E13" s="6" t="s">
        <v>147</v>
      </c>
      <c r="F13" s="9">
        <v>10150</v>
      </c>
      <c r="G13" s="9">
        <v>9397</v>
      </c>
      <c r="H13" s="48" t="s">
        <v>147</v>
      </c>
      <c r="I13" s="49">
        <v>11668</v>
      </c>
      <c r="J13" s="49">
        <v>6544</v>
      </c>
      <c r="K13" s="62" t="s">
        <v>147</v>
      </c>
      <c r="L13" s="54">
        <v>5133</v>
      </c>
      <c r="M13" s="54">
        <v>5733</v>
      </c>
      <c r="N13" s="58" t="s">
        <v>147</v>
      </c>
      <c r="O13" s="59">
        <v>9020</v>
      </c>
      <c r="P13" s="59">
        <v>8519</v>
      </c>
    </row>
    <row r="14" spans="2:16" x14ac:dyDescent="0.25">
      <c r="B14" s="6" t="s">
        <v>148</v>
      </c>
      <c r="C14" s="9">
        <v>6751</v>
      </c>
      <c r="D14" s="9">
        <v>6894</v>
      </c>
      <c r="E14" s="6" t="s">
        <v>148</v>
      </c>
      <c r="F14" s="9">
        <v>7266</v>
      </c>
      <c r="G14" s="9">
        <v>7720</v>
      </c>
      <c r="H14" s="48" t="s">
        <v>148</v>
      </c>
      <c r="I14" s="49">
        <v>8120</v>
      </c>
      <c r="J14" s="49">
        <v>8776</v>
      </c>
      <c r="K14" s="62" t="s">
        <v>148</v>
      </c>
      <c r="L14" s="54">
        <v>10034</v>
      </c>
      <c r="M14" s="54">
        <v>10436</v>
      </c>
      <c r="N14" s="58" t="s">
        <v>148</v>
      </c>
      <c r="O14" s="59">
        <v>10743</v>
      </c>
      <c r="P14" s="59">
        <v>11225</v>
      </c>
    </row>
    <row r="15" spans="2:16" x14ac:dyDescent="0.25">
      <c r="B15" s="6" t="s">
        <v>149</v>
      </c>
      <c r="C15" s="9">
        <v>4305</v>
      </c>
      <c r="D15" s="9">
        <v>5470</v>
      </c>
      <c r="E15" s="6" t="s">
        <v>170</v>
      </c>
      <c r="F15" s="9">
        <v>5647</v>
      </c>
      <c r="G15" s="9">
        <v>5669</v>
      </c>
      <c r="H15" s="48" t="s">
        <v>177</v>
      </c>
      <c r="I15" s="49">
        <v>5237</v>
      </c>
      <c r="J15" s="49">
        <v>4241</v>
      </c>
      <c r="K15" s="62" t="s">
        <v>177</v>
      </c>
      <c r="L15" s="54">
        <v>4311</v>
      </c>
      <c r="M15" s="54">
        <v>4503</v>
      </c>
      <c r="N15" s="58" t="s">
        <v>183</v>
      </c>
      <c r="O15" s="59">
        <v>3438</v>
      </c>
      <c r="P15" s="59">
        <v>3584</v>
      </c>
    </row>
    <row r="16" spans="2:16" x14ac:dyDescent="0.25">
      <c r="B16" s="6" t="s">
        <v>150</v>
      </c>
      <c r="C16" s="9">
        <v>1569</v>
      </c>
      <c r="D16" s="9">
        <v>1765</v>
      </c>
      <c r="E16" s="6" t="s">
        <v>150</v>
      </c>
      <c r="F16" s="9">
        <v>1955</v>
      </c>
      <c r="G16" s="9">
        <v>1852</v>
      </c>
      <c r="H16" s="48" t="s">
        <v>150</v>
      </c>
      <c r="I16" s="49">
        <v>1828</v>
      </c>
      <c r="J16" s="49">
        <v>1848</v>
      </c>
      <c r="K16" s="62" t="s">
        <v>150</v>
      </c>
      <c r="L16" s="54">
        <v>1823</v>
      </c>
      <c r="M16" s="54">
        <v>1992</v>
      </c>
      <c r="N16" s="58" t="s">
        <v>150</v>
      </c>
      <c r="O16" s="59">
        <v>1575</v>
      </c>
      <c r="P16" s="59">
        <v>1751</v>
      </c>
    </row>
    <row r="17" spans="2:16" x14ac:dyDescent="0.25">
      <c r="B17" s="6" t="s">
        <v>151</v>
      </c>
      <c r="C17" s="9">
        <v>1509</v>
      </c>
      <c r="D17" s="9">
        <v>1682</v>
      </c>
      <c r="E17" s="6" t="s">
        <v>151</v>
      </c>
      <c r="F17" s="9">
        <v>1590</v>
      </c>
      <c r="G17" s="9">
        <v>1603</v>
      </c>
      <c r="H17" s="48" t="s">
        <v>151</v>
      </c>
      <c r="I17" s="49">
        <v>1700</v>
      </c>
      <c r="J17" s="49">
        <v>1672</v>
      </c>
      <c r="K17" s="62" t="s">
        <v>151</v>
      </c>
      <c r="L17" s="54">
        <v>1710</v>
      </c>
      <c r="M17" s="54">
        <v>1787</v>
      </c>
      <c r="N17" s="58" t="s">
        <v>151</v>
      </c>
      <c r="O17" s="59">
        <v>1941</v>
      </c>
      <c r="P17" s="59">
        <v>1993</v>
      </c>
    </row>
    <row r="18" spans="2:16" x14ac:dyDescent="0.25">
      <c r="B18" s="6" t="s">
        <v>152</v>
      </c>
      <c r="C18" s="9">
        <v>1549</v>
      </c>
      <c r="D18" s="9">
        <v>1642</v>
      </c>
      <c r="E18" s="6" t="s">
        <v>152</v>
      </c>
      <c r="F18" s="9">
        <v>1566</v>
      </c>
      <c r="G18" s="9">
        <v>1665</v>
      </c>
      <c r="H18" s="48" t="s">
        <v>152</v>
      </c>
      <c r="I18" s="49">
        <v>1749</v>
      </c>
      <c r="J18" s="49">
        <v>1848</v>
      </c>
      <c r="K18" s="62" t="s">
        <v>152</v>
      </c>
      <c r="L18" s="54">
        <v>1991</v>
      </c>
      <c r="M18" s="54">
        <v>2184</v>
      </c>
      <c r="N18" s="58" t="s">
        <v>152</v>
      </c>
      <c r="O18" s="59">
        <v>2175</v>
      </c>
      <c r="P18" s="59">
        <v>2641</v>
      </c>
    </row>
    <row r="19" spans="2:16" x14ac:dyDescent="0.25">
      <c r="B19" s="6" t="s">
        <v>153</v>
      </c>
      <c r="C19" s="9">
        <v>1511</v>
      </c>
      <c r="D19" s="9">
        <v>1523</v>
      </c>
      <c r="E19" s="6" t="s">
        <v>153</v>
      </c>
      <c r="F19" s="9">
        <v>1565</v>
      </c>
      <c r="G19" s="9">
        <v>1658</v>
      </c>
      <c r="H19" s="48" t="s">
        <v>153</v>
      </c>
      <c r="I19" s="49">
        <v>1771</v>
      </c>
      <c r="J19" s="49">
        <v>1835</v>
      </c>
      <c r="K19" s="62" t="s">
        <v>153</v>
      </c>
      <c r="L19" s="54">
        <v>1902</v>
      </c>
      <c r="M19" s="54">
        <v>2235</v>
      </c>
      <c r="N19" s="58" t="s">
        <v>153</v>
      </c>
      <c r="O19" s="59">
        <v>2329</v>
      </c>
      <c r="P19" s="59">
        <v>2581</v>
      </c>
    </row>
    <row r="20" spans="2:16" x14ac:dyDescent="0.25">
      <c r="B20" s="6" t="s">
        <v>154</v>
      </c>
      <c r="C20" s="9">
        <v>1281</v>
      </c>
      <c r="D20" s="9">
        <v>1281</v>
      </c>
      <c r="E20" s="6" t="s">
        <v>154</v>
      </c>
      <c r="F20" s="9">
        <v>1336</v>
      </c>
      <c r="G20" s="9">
        <v>1410</v>
      </c>
      <c r="H20" s="48" t="s">
        <v>154</v>
      </c>
      <c r="I20" s="49">
        <v>1442</v>
      </c>
      <c r="J20" s="49">
        <v>1493</v>
      </c>
      <c r="K20" s="62" t="s">
        <v>154</v>
      </c>
      <c r="L20" s="54">
        <v>1490</v>
      </c>
      <c r="M20" s="54">
        <v>1528</v>
      </c>
      <c r="N20" s="58" t="s">
        <v>154</v>
      </c>
      <c r="O20" s="59">
        <v>1662</v>
      </c>
      <c r="P20" s="59">
        <v>1762</v>
      </c>
    </row>
    <row r="21" spans="2:16" x14ac:dyDescent="0.25">
      <c r="B21" s="6" t="s">
        <v>155</v>
      </c>
      <c r="C21" s="9">
        <v>673</v>
      </c>
      <c r="D21" s="9">
        <v>721</v>
      </c>
      <c r="E21" s="6" t="s">
        <v>155</v>
      </c>
      <c r="F21" s="9">
        <v>732</v>
      </c>
      <c r="G21" s="9">
        <v>762</v>
      </c>
      <c r="H21" s="48" t="s">
        <v>155</v>
      </c>
      <c r="I21" s="49">
        <v>810</v>
      </c>
      <c r="J21" s="49">
        <v>872</v>
      </c>
      <c r="K21" s="62" t="s">
        <v>155</v>
      </c>
      <c r="L21" s="54">
        <v>907</v>
      </c>
      <c r="M21" s="54">
        <v>1067</v>
      </c>
      <c r="N21" s="58" t="s">
        <v>155</v>
      </c>
      <c r="O21" s="59">
        <v>1178</v>
      </c>
      <c r="P21" s="59">
        <v>1251</v>
      </c>
    </row>
    <row r="22" spans="2:16" x14ac:dyDescent="0.25">
      <c r="B22" s="6" t="s">
        <v>156</v>
      </c>
      <c r="C22" s="9">
        <v>387</v>
      </c>
      <c r="D22" s="9">
        <v>298</v>
      </c>
      <c r="E22" s="6" t="s">
        <v>156</v>
      </c>
      <c r="F22" s="9">
        <v>272</v>
      </c>
      <c r="G22" s="9">
        <v>209</v>
      </c>
      <c r="H22" s="48" t="s">
        <v>156</v>
      </c>
      <c r="I22" s="49">
        <v>233</v>
      </c>
      <c r="J22" s="49">
        <v>250</v>
      </c>
      <c r="K22" s="62" t="s">
        <v>156</v>
      </c>
      <c r="L22" s="54">
        <v>285</v>
      </c>
      <c r="M22" s="54">
        <v>351</v>
      </c>
      <c r="N22" s="58" t="s">
        <v>156</v>
      </c>
      <c r="O22" s="59">
        <v>394</v>
      </c>
      <c r="P22" s="59">
        <v>423</v>
      </c>
    </row>
    <row r="23" spans="2:16" x14ac:dyDescent="0.25">
      <c r="B23" s="6" t="s">
        <v>157</v>
      </c>
      <c r="C23" s="9">
        <v>313</v>
      </c>
      <c r="D23" s="9">
        <v>264</v>
      </c>
      <c r="E23" s="6" t="s">
        <v>157</v>
      </c>
      <c r="F23" s="9">
        <v>372</v>
      </c>
      <c r="G23" s="9">
        <v>506</v>
      </c>
      <c r="H23" s="48" t="s">
        <v>157</v>
      </c>
      <c r="I23" s="49">
        <v>1085</v>
      </c>
      <c r="J23" s="49">
        <v>1490</v>
      </c>
      <c r="K23" s="62" t="s">
        <v>157</v>
      </c>
      <c r="L23" s="54">
        <v>1115</v>
      </c>
      <c r="M23" s="54">
        <v>1065</v>
      </c>
      <c r="N23" s="58" t="s">
        <v>157</v>
      </c>
      <c r="O23" s="59">
        <v>1301</v>
      </c>
      <c r="P23" s="59">
        <v>1643</v>
      </c>
    </row>
    <row r="24" spans="2:16" x14ac:dyDescent="0.25">
      <c r="B24" s="6" t="s">
        <v>158</v>
      </c>
      <c r="C24" s="9">
        <v>450</v>
      </c>
      <c r="D24" s="9">
        <v>242</v>
      </c>
      <c r="E24" s="6" t="s">
        <v>158</v>
      </c>
      <c r="F24" s="9">
        <v>452</v>
      </c>
      <c r="G24" s="9">
        <v>402</v>
      </c>
      <c r="H24" s="48" t="s">
        <v>178</v>
      </c>
      <c r="I24" s="49">
        <v>716</v>
      </c>
      <c r="J24" s="49">
        <v>35</v>
      </c>
      <c r="K24" s="18"/>
    </row>
    <row r="25" spans="2:16" x14ac:dyDescent="0.25">
      <c r="K25" s="18"/>
      <c r="N25" s="58" t="s">
        <v>184</v>
      </c>
      <c r="O25" s="59">
        <v>1695</v>
      </c>
      <c r="P25" s="59">
        <v>1245</v>
      </c>
    </row>
    <row r="26" spans="2:16" x14ac:dyDescent="0.25">
      <c r="B26" s="6" t="s">
        <v>144</v>
      </c>
      <c r="C26" s="9">
        <v>1646</v>
      </c>
      <c r="D26" s="9">
        <v>1628</v>
      </c>
      <c r="E26" s="6" t="s">
        <v>144</v>
      </c>
      <c r="F26" s="9">
        <v>1592</v>
      </c>
      <c r="G26" s="9">
        <v>1520</v>
      </c>
      <c r="H26" s="48" t="s">
        <v>144</v>
      </c>
      <c r="I26" s="49">
        <v>1797</v>
      </c>
      <c r="J26" s="49">
        <v>1998</v>
      </c>
      <c r="K26" s="62" t="s">
        <v>144</v>
      </c>
      <c r="L26" s="54">
        <v>1986</v>
      </c>
      <c r="M26" s="54">
        <v>2249</v>
      </c>
      <c r="N26" s="58" t="s">
        <v>144</v>
      </c>
      <c r="O26" s="59">
        <v>1723</v>
      </c>
      <c r="P26" s="59">
        <v>1771</v>
      </c>
    </row>
    <row r="27" spans="2:16" x14ac:dyDescent="0.25">
      <c r="B27" s="6" t="s">
        <v>159</v>
      </c>
      <c r="C27" s="9">
        <v>29538</v>
      </c>
      <c r="D27" s="9">
        <v>33140</v>
      </c>
      <c r="E27" s="6" t="s">
        <v>159</v>
      </c>
      <c r="F27" s="9">
        <v>34495</v>
      </c>
      <c r="G27" s="9">
        <v>34373</v>
      </c>
      <c r="H27" s="48" t="s">
        <v>159</v>
      </c>
      <c r="I27" s="49">
        <v>38156</v>
      </c>
      <c r="J27" s="49">
        <v>32902</v>
      </c>
      <c r="K27" s="62" t="s">
        <v>159</v>
      </c>
      <c r="L27" s="54">
        <v>32687</v>
      </c>
      <c r="M27" s="54">
        <v>35130</v>
      </c>
      <c r="N27" s="58" t="s">
        <v>159</v>
      </c>
      <c r="O27" s="59">
        <v>39174</v>
      </c>
      <c r="P27" s="59">
        <v>40389</v>
      </c>
    </row>
    <row r="28" spans="2:16" x14ac:dyDescent="0.25">
      <c r="B28" s="7"/>
      <c r="C28" s="7"/>
      <c r="D28" s="7"/>
      <c r="K28" s="18"/>
    </row>
    <row r="29" spans="2:16" x14ac:dyDescent="0.25">
      <c r="B29" s="6" t="s">
        <v>160</v>
      </c>
      <c r="C29" s="9">
        <v>2217</v>
      </c>
      <c r="D29" s="9">
        <v>1975</v>
      </c>
      <c r="E29" s="6" t="s">
        <v>171</v>
      </c>
      <c r="F29" s="9">
        <v>2175</v>
      </c>
      <c r="G29" s="9">
        <v>3400</v>
      </c>
      <c r="H29" s="48" t="s">
        <v>171</v>
      </c>
      <c r="I29" s="49">
        <v>2206</v>
      </c>
      <c r="J29" s="49">
        <v>7802</v>
      </c>
      <c r="K29" s="62" t="s">
        <v>171</v>
      </c>
      <c r="L29" s="54">
        <v>6952</v>
      </c>
      <c r="M29" s="54">
        <v>6114</v>
      </c>
      <c r="N29" s="58" t="s">
        <v>171</v>
      </c>
      <c r="O29" s="59">
        <v>5264</v>
      </c>
      <c r="P29" s="59">
        <v>6618</v>
      </c>
    </row>
    <row r="30" spans="2:16" x14ac:dyDescent="0.25">
      <c r="B30" s="7"/>
      <c r="C30" s="7"/>
      <c r="D30" s="7"/>
      <c r="E30" s="7"/>
      <c r="F30" s="7"/>
      <c r="G30" s="7"/>
      <c r="K30" s="18"/>
    </row>
    <row r="31" spans="2:16" x14ac:dyDescent="0.25">
      <c r="B31" s="58" t="s">
        <v>179</v>
      </c>
      <c r="C31" s="7"/>
      <c r="D31" s="7"/>
      <c r="E31" s="58" t="s">
        <v>179</v>
      </c>
      <c r="F31" s="7"/>
      <c r="G31" s="7"/>
      <c r="H31" s="48" t="s">
        <v>179</v>
      </c>
      <c r="I31" s="47"/>
      <c r="J31" s="47"/>
      <c r="K31" s="62" t="s">
        <v>179</v>
      </c>
      <c r="L31" s="52"/>
      <c r="M31" s="52"/>
      <c r="N31" s="58" t="s">
        <v>179</v>
      </c>
      <c r="O31" s="57"/>
      <c r="P31" s="57"/>
    </row>
    <row r="32" spans="2:16" x14ac:dyDescent="0.25">
      <c r="B32" s="6" t="s">
        <v>161</v>
      </c>
      <c r="C32" s="9">
        <v>-969</v>
      </c>
      <c r="D32" s="9">
        <v>-901</v>
      </c>
      <c r="E32" s="6" t="s">
        <v>161</v>
      </c>
      <c r="F32" s="9">
        <v>-812</v>
      </c>
      <c r="G32" s="9">
        <v>-698</v>
      </c>
      <c r="H32" s="48" t="s">
        <v>161</v>
      </c>
      <c r="I32" s="49">
        <v>-650</v>
      </c>
      <c r="J32" s="49">
        <v>-481</v>
      </c>
      <c r="K32" s="62" t="s">
        <v>161</v>
      </c>
      <c r="L32" s="54">
        <v>-388</v>
      </c>
      <c r="M32" s="54">
        <v>-396</v>
      </c>
      <c r="N32" s="58" t="s">
        <v>161</v>
      </c>
      <c r="O32" s="59">
        <v>-311</v>
      </c>
      <c r="P32" s="59">
        <v>-301</v>
      </c>
    </row>
    <row r="33" spans="2:16" x14ac:dyDescent="0.25">
      <c r="B33" s="6" t="s">
        <v>162</v>
      </c>
      <c r="C33" s="9">
        <v>-216</v>
      </c>
      <c r="D33" s="9">
        <v>-193</v>
      </c>
      <c r="E33" s="6" t="s">
        <v>162</v>
      </c>
      <c r="F33" s="9">
        <v>-193</v>
      </c>
      <c r="G33" s="9">
        <v>-154</v>
      </c>
      <c r="K33" s="18"/>
    </row>
    <row r="34" spans="2:16" x14ac:dyDescent="0.25">
      <c r="K34" s="18"/>
      <c r="N34" s="58" t="s">
        <v>185</v>
      </c>
      <c r="O34" s="59">
        <v>38</v>
      </c>
      <c r="P34" s="59">
        <v>119</v>
      </c>
    </row>
    <row r="35" spans="2:16" x14ac:dyDescent="0.25">
      <c r="B35" s="6" t="s">
        <v>163</v>
      </c>
      <c r="C35" s="9">
        <v>-391</v>
      </c>
      <c r="D35" s="9">
        <v>-68</v>
      </c>
      <c r="E35" s="6" t="s">
        <v>163</v>
      </c>
      <c r="F35" s="9">
        <v>-118</v>
      </c>
      <c r="G35" s="10">
        <v>0</v>
      </c>
      <c r="K35" s="18"/>
    </row>
    <row r="36" spans="2:16" x14ac:dyDescent="0.25">
      <c r="B36" s="6" t="s">
        <v>164</v>
      </c>
      <c r="C36" s="9">
        <v>-33</v>
      </c>
      <c r="D36" s="9">
        <v>-44</v>
      </c>
      <c r="E36" s="6" t="s">
        <v>164</v>
      </c>
      <c r="F36" s="9">
        <v>-27</v>
      </c>
      <c r="G36" s="9">
        <v>-21</v>
      </c>
      <c r="H36" s="48" t="s">
        <v>164</v>
      </c>
      <c r="I36" s="49">
        <v>-484</v>
      </c>
      <c r="J36" s="49">
        <v>-164</v>
      </c>
      <c r="K36" s="62" t="s">
        <v>164</v>
      </c>
      <c r="L36" s="54">
        <v>72</v>
      </c>
      <c r="M36" s="54">
        <v>-17</v>
      </c>
      <c r="N36" s="58" t="s">
        <v>164</v>
      </c>
      <c r="O36" s="59">
        <v>160</v>
      </c>
      <c r="P36" s="59">
        <v>-238</v>
      </c>
    </row>
    <row r="37" spans="2:16" x14ac:dyDescent="0.25">
      <c r="B37" s="58" t="s">
        <v>180</v>
      </c>
      <c r="C37" s="9">
        <v>-1609</v>
      </c>
      <c r="D37" s="9">
        <v>-1206</v>
      </c>
      <c r="E37" s="58" t="s">
        <v>180</v>
      </c>
      <c r="F37" s="9">
        <v>-1150</v>
      </c>
      <c r="G37" s="9">
        <v>-873</v>
      </c>
      <c r="H37" s="48" t="s">
        <v>180</v>
      </c>
      <c r="I37" s="49">
        <v>-1134</v>
      </c>
      <c r="J37" s="49">
        <v>-645</v>
      </c>
      <c r="K37" s="62" t="s">
        <v>180</v>
      </c>
      <c r="L37" s="54">
        <v>-316</v>
      </c>
      <c r="M37" s="54">
        <v>-413</v>
      </c>
      <c r="N37" s="58" t="s">
        <v>180</v>
      </c>
      <c r="O37" s="59">
        <v>-113</v>
      </c>
      <c r="P37" s="59">
        <v>-420</v>
      </c>
    </row>
    <row r="38" spans="2:16" x14ac:dyDescent="0.25">
      <c r="B38" s="7"/>
      <c r="C38" s="7"/>
      <c r="D38" s="7"/>
      <c r="E38" s="7"/>
      <c r="F38" s="7"/>
      <c r="G38" s="7"/>
      <c r="K38" s="18"/>
    </row>
    <row r="39" spans="2:16" x14ac:dyDescent="0.25">
      <c r="B39" s="6" t="s">
        <v>165</v>
      </c>
      <c r="C39" s="9">
        <v>608</v>
      </c>
      <c r="D39" s="9">
        <v>769</v>
      </c>
      <c r="E39" s="6" t="s">
        <v>172</v>
      </c>
      <c r="F39" s="9">
        <v>1025</v>
      </c>
      <c r="G39" s="9">
        <v>2527</v>
      </c>
      <c r="H39" s="48" t="s">
        <v>172</v>
      </c>
      <c r="I39" s="49">
        <v>1072</v>
      </c>
      <c r="J39" s="49">
        <v>7157</v>
      </c>
      <c r="K39" s="62" t="s">
        <v>172</v>
      </c>
      <c r="L39" s="54">
        <v>6636</v>
      </c>
      <c r="M39" s="54">
        <v>5701</v>
      </c>
      <c r="N39" s="58" t="s">
        <v>172</v>
      </c>
      <c r="O39" s="59">
        <v>5151</v>
      </c>
      <c r="P39" s="59">
        <v>6198</v>
      </c>
    </row>
    <row r="40" spans="2:16" x14ac:dyDescent="0.25">
      <c r="B40" s="7"/>
      <c r="C40" s="7"/>
      <c r="D40" s="7"/>
      <c r="E40" s="7"/>
      <c r="F40" s="7"/>
      <c r="G40" s="7"/>
      <c r="K40" s="18"/>
    </row>
    <row r="41" spans="2:16" x14ac:dyDescent="0.25">
      <c r="B41" s="6" t="s">
        <v>166</v>
      </c>
      <c r="C41" s="9">
        <v>-15</v>
      </c>
      <c r="D41" s="9">
        <v>85</v>
      </c>
      <c r="E41" s="6" t="s">
        <v>166</v>
      </c>
      <c r="F41" s="9">
        <v>-16</v>
      </c>
      <c r="G41" s="9">
        <v>8013</v>
      </c>
      <c r="H41" s="48" t="s">
        <v>181</v>
      </c>
      <c r="I41" s="49">
        <v>-413</v>
      </c>
      <c r="J41" s="49">
        <v>-2631</v>
      </c>
      <c r="K41" s="62" t="s">
        <v>182</v>
      </c>
      <c r="L41" s="54">
        <v>-2263</v>
      </c>
      <c r="M41" s="54">
        <v>-2124</v>
      </c>
      <c r="N41" s="58" t="s">
        <v>182</v>
      </c>
      <c r="O41" s="59">
        <v>-1216</v>
      </c>
      <c r="P41" s="59">
        <v>-1431</v>
      </c>
    </row>
    <row r="42" spans="2:16" x14ac:dyDescent="0.25">
      <c r="B42" s="7"/>
      <c r="C42" s="7"/>
      <c r="D42" s="7"/>
      <c r="E42" s="7"/>
      <c r="F42" s="7"/>
      <c r="G42" s="7"/>
      <c r="K42" s="18"/>
    </row>
    <row r="43" spans="2:16" x14ac:dyDescent="0.25">
      <c r="B43" s="6" t="s">
        <v>167</v>
      </c>
      <c r="C43" s="8">
        <v>593</v>
      </c>
      <c r="D43" s="8">
        <v>854</v>
      </c>
      <c r="E43" s="6" t="s">
        <v>173</v>
      </c>
      <c r="F43" s="8">
        <v>1009</v>
      </c>
      <c r="G43" s="8">
        <v>10540</v>
      </c>
      <c r="H43" s="48" t="s">
        <v>173</v>
      </c>
      <c r="I43" s="50">
        <v>659</v>
      </c>
      <c r="J43" s="50">
        <v>4526</v>
      </c>
      <c r="K43" s="62" t="s">
        <v>173</v>
      </c>
      <c r="L43" s="55">
        <v>4373</v>
      </c>
      <c r="M43" s="55">
        <v>3577</v>
      </c>
      <c r="N43" s="58" t="s">
        <v>173</v>
      </c>
      <c r="O43" s="60">
        <v>3935</v>
      </c>
      <c r="P43" s="60">
        <v>4767</v>
      </c>
    </row>
    <row r="44" spans="2:16" x14ac:dyDescent="0.25">
      <c r="B44" s="7"/>
      <c r="C44" s="7"/>
      <c r="D44" s="7"/>
      <c r="E44" s="7"/>
      <c r="F44" s="7"/>
      <c r="G44" s="7"/>
      <c r="K44" s="18"/>
    </row>
    <row r="45" spans="2:16" x14ac:dyDescent="0.25">
      <c r="B45" s="6" t="s">
        <v>168</v>
      </c>
      <c r="C45" s="22">
        <v>0.71</v>
      </c>
      <c r="D45" s="22">
        <v>1.02</v>
      </c>
      <c r="E45" s="6" t="s">
        <v>174</v>
      </c>
      <c r="F45" s="22">
        <v>1.2</v>
      </c>
      <c r="G45" s="22">
        <v>12.41</v>
      </c>
      <c r="H45" s="48" t="s">
        <v>174</v>
      </c>
      <c r="I45" s="51">
        <v>0.79</v>
      </c>
      <c r="J45" s="51">
        <v>5.68</v>
      </c>
      <c r="K45" s="62" t="s">
        <v>174</v>
      </c>
      <c r="L45" s="56">
        <v>5.82</v>
      </c>
      <c r="M45" s="56">
        <v>4.97</v>
      </c>
      <c r="N45" s="58" t="s">
        <v>174</v>
      </c>
      <c r="O45" s="61">
        <v>5.69</v>
      </c>
      <c r="P45" s="61">
        <v>7.32</v>
      </c>
    </row>
    <row r="46" spans="2:16" x14ac:dyDescent="0.25">
      <c r="B46" s="6" t="s">
        <v>169</v>
      </c>
      <c r="C46" s="22">
        <v>0.7</v>
      </c>
      <c r="D46" s="22">
        <v>1.01</v>
      </c>
      <c r="E46" s="6" t="s">
        <v>175</v>
      </c>
      <c r="F46" s="22">
        <v>1.19</v>
      </c>
      <c r="G46" s="22">
        <v>12.29</v>
      </c>
      <c r="H46" s="48" t="s">
        <v>175</v>
      </c>
      <c r="I46" s="51">
        <v>0.78</v>
      </c>
      <c r="J46" s="51">
        <v>5.63</v>
      </c>
      <c r="K46" s="62" t="s">
        <v>175</v>
      </c>
      <c r="L46" s="56">
        <v>5.79</v>
      </c>
      <c r="M46" s="56">
        <v>4.95</v>
      </c>
      <c r="N46" s="58" t="s">
        <v>175</v>
      </c>
      <c r="O46" s="61">
        <v>5.67</v>
      </c>
      <c r="P46" s="61">
        <v>7.3</v>
      </c>
    </row>
    <row r="47" spans="2:16" x14ac:dyDescent="0.25">
      <c r="N47" s="58" t="s">
        <v>176</v>
      </c>
      <c r="O47" s="61">
        <v>1.31</v>
      </c>
      <c r="P47" s="61">
        <v>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PRO-FORMA FINAL</vt:lpstr>
      <vt:lpstr>Final Balance Sheet</vt:lpstr>
      <vt:lpstr>Original Balance Sheet</vt:lpstr>
      <vt:lpstr>Final Income Statement</vt:lpstr>
      <vt:lpstr>Original Income Statement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Garcia, Bryan Joel</dc:creator>
  <cp:lastModifiedBy>Garcia, Bryan Joel</cp:lastModifiedBy>
  <dcterms:created xsi:type="dcterms:W3CDTF">2020-11-10T00:13:26Z</dcterms:created>
  <dcterms:modified xsi:type="dcterms:W3CDTF">2020-11-10T03:37:56Z</dcterms:modified>
</cp:coreProperties>
</file>